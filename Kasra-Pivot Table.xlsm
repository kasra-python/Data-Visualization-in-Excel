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workbookPr codeName="ThisWorkbook" hidePivotFieldList="1" defaultThemeVersion="166925"/>
  <mc:AlternateContent xmlns:mc="http://schemas.openxmlformats.org/markup-compatibility/2006">
    <mc:Choice Requires="x15">
      <x15ac:absPath xmlns:x15ac="http://schemas.microsoft.com/office/spreadsheetml/2010/11/ac" url="C:\Users\Kasra Tehrani\Desktop\Excel-Visualization\Final Project\"/>
    </mc:Choice>
  </mc:AlternateContent>
  <xr:revisionPtr revIDLastSave="0" documentId="13_ncr:1_{40BFD690-5C4F-4209-8FB7-214189D254A9}" xr6:coauthVersionLast="47" xr6:coauthVersionMax="47" xr10:uidLastSave="{00000000-0000-0000-0000-000000000000}"/>
  <bookViews>
    <workbookView xWindow="-98" yWindow="-98" windowWidth="21795" windowHeight="12975" activeTab="3" xr2:uid="{06E05923-B9D4-4116-97B0-1B75B0C7960D}"/>
  </bookViews>
  <sheets>
    <sheet name="Sa Data" sheetId="2" r:id="rId1"/>
    <sheet name="Hu Data" sheetId="1" r:id="rId2"/>
    <sheet name="Kasra Pivot" sheetId="9" r:id="rId3"/>
    <sheet name="Kasra Dash" sheetId="6" r:id="rId4"/>
  </sheets>
  <definedNames>
    <definedName name="_xlnm._FilterDatabase" localSheetId="0" hidden="1">'Sa Data'!$A$1:$M$1</definedName>
    <definedName name="_xlcn.WorksheetConnection_5ساختداشبوردباامکاناتتیبل.xlsmTable1" hidden="1">Table1[]</definedName>
    <definedName name="_xlcn.WorksheetConnection_5ساختداشبوردباامکاناتتیبل.xlsmTable2" hidden="1">Table2[]</definedName>
    <definedName name="Slicer_نام_خانوادگی2">#N/A</definedName>
  </definedNames>
  <calcPr calcId="191029"/>
  <pivotCaches>
    <pivotCache cacheId="0" r:id="rId5"/>
    <pivotCache cacheId="1"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5- ساخت داشبورد با امکانات تیبل.xlsm!Table2"/>
          <x15:modelTable id="Table1" name="Table1" connection="WorksheetConnection_5- ساخت داشبورد با امکانات تیبل.xlsm!Table1"/>
        </x15:modelTables>
        <x15:modelRelationships>
          <x15:modelRelationship fromTable="Table2" fromColumn="شماره پرسنلی" toTable="Table1" toColumn="شماره پرسنلی"/>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62" i="2" l="1"/>
  <c r="K50" i="2"/>
  <c r="K47" i="2"/>
  <c r="K44" i="2"/>
  <c r="K38" i="2"/>
  <c r="K30" i="2"/>
  <c r="K28" i="2"/>
  <c r="K25" i="2"/>
  <c r="K24" i="2"/>
  <c r="K23" i="2"/>
  <c r="K14" i="2"/>
  <c r="K12" i="2"/>
  <c r="H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K56" i="2"/>
  <c r="K67" i="2"/>
  <c r="K40" i="2"/>
  <c r="K34" i="2"/>
  <c r="K33" i="2"/>
  <c r="K32" i="2"/>
  <c r="K26" i="2"/>
  <c r="K42" i="2"/>
  <c r="K36" i="2"/>
  <c r="K35" i="2"/>
  <c r="K27" i="2"/>
  <c r="K9" i="2"/>
  <c r="K17" i="2"/>
  <c r="K13" i="2"/>
  <c r="K15" i="2"/>
  <c r="K11" i="2"/>
  <c r="K10" i="2"/>
  <c r="K8" i="2"/>
  <c r="K7" i="2"/>
  <c r="K6" i="2"/>
  <c r="K5" i="2"/>
  <c r="K4" i="2"/>
  <c r="K3" i="2"/>
  <c r="L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K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M12" i="9"/>
  <c r="M11" i="9"/>
  <c r="M10" i="9"/>
  <c r="K79" i="2" l="1"/>
  <c r="K59" i="2"/>
  <c r="K29" i="2"/>
  <c r="K37" i="2"/>
  <c r="K39" i="2"/>
  <c r="K31" i="2"/>
  <c r="K41" i="2"/>
  <c r="K49" i="2"/>
  <c r="K69" i="2"/>
  <c r="K55" i="2"/>
  <c r="K75" i="2"/>
  <c r="K61" i="2"/>
  <c r="K81" i="2"/>
  <c r="K45" i="2"/>
  <c r="K51" i="2"/>
  <c r="K71" i="2"/>
  <c r="K57" i="2"/>
  <c r="K77" i="2"/>
  <c r="K70" i="2"/>
  <c r="K76" i="2"/>
  <c r="K82" i="2"/>
  <c r="K16" i="2"/>
  <c r="K18" i="2"/>
  <c r="K20" i="2"/>
  <c r="K21" i="2"/>
  <c r="K19" i="2"/>
  <c r="K22" i="2"/>
  <c r="K73" i="2" l="1"/>
  <c r="K53" i="2"/>
  <c r="K60" i="2"/>
  <c r="K80" i="2"/>
  <c r="K64" i="2"/>
  <c r="K84" i="2"/>
  <c r="K74" i="2"/>
  <c r="K54" i="2"/>
  <c r="K58" i="2"/>
  <c r="K78" i="2"/>
  <c r="K68" i="2"/>
  <c r="K48" i="2"/>
  <c r="K52" i="2"/>
  <c r="K72" i="2"/>
  <c r="K85" i="2"/>
  <c r="K65" i="2"/>
  <c r="K43" i="2"/>
  <c r="K46" i="2"/>
  <c r="K66" i="2"/>
  <c r="K63" i="2" l="1"/>
  <c r="K83" i="2"/>
  <c r="K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C0B5596-84A0-4D61-B230-EE820A66535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B314C294-8ADB-4722-82D0-A3B9C36C7895}" name="WorksheetConnection_5- ساخت داشبورد با امکانات تیبل.xlsm!Table1" type="102" refreshedVersion="8" minRefreshableVersion="5">
    <extLst>
      <ext xmlns:x15="http://schemas.microsoft.com/office/spreadsheetml/2010/11/main" uri="{DE250136-89BD-433C-8126-D09CA5730AF9}">
        <x15:connection id="Table1">
          <x15:rangePr sourceName="_xlcn.WorksheetConnection_5ساختداشبوردباامکاناتتیبل.xlsmTable1"/>
        </x15:connection>
      </ext>
    </extLst>
  </connection>
  <connection id="3" xr16:uid="{5F644342-D12B-4B16-8D9A-4FF52A3C9A30}" name="WorksheetConnection_5- ساخت داشبورد با امکانات تیبل.xlsm!Table2" type="102" refreshedVersion="8" minRefreshableVersion="5">
    <extLst>
      <ext xmlns:x15="http://schemas.microsoft.com/office/spreadsheetml/2010/11/main" uri="{DE250136-89BD-433C-8126-D09CA5730AF9}">
        <x15:connection id="Table2">
          <x15:rangePr sourceName="_xlcn.WorksheetConnection_5ساختداشبوردباامکاناتتیبل.xlsmTable2"/>
        </x15:connection>
      </ext>
    </extLst>
  </connection>
</connections>
</file>

<file path=xl/sharedStrings.xml><?xml version="1.0" encoding="utf-8"?>
<sst xmlns="http://schemas.openxmlformats.org/spreadsheetml/2006/main" count="1773" uniqueCount="531">
  <si>
    <t>ردیف</t>
  </si>
  <si>
    <t xml:space="preserve">نام </t>
  </si>
  <si>
    <t>نام خانوادگی</t>
  </si>
  <si>
    <t>کد ملی</t>
  </si>
  <si>
    <t>نام پدر</t>
  </si>
  <si>
    <t>تاریخ تولد</t>
  </si>
  <si>
    <t>جنسیت</t>
  </si>
  <si>
    <t>مدرک تحصیلی</t>
  </si>
  <si>
    <t>ابوالفضل</t>
  </si>
  <si>
    <t>احسان</t>
  </si>
  <si>
    <t>احمد</t>
  </si>
  <si>
    <t>اسماعیل</t>
  </si>
  <si>
    <t>افسانه</t>
  </si>
  <si>
    <t>افشین</t>
  </si>
  <si>
    <t>الناز</t>
  </si>
  <si>
    <t>اله یار</t>
  </si>
  <si>
    <t>الهام</t>
  </si>
  <si>
    <t>الهه</t>
  </si>
  <si>
    <t>امید</t>
  </si>
  <si>
    <t>امیر</t>
  </si>
  <si>
    <t>امیر حسن</t>
  </si>
  <si>
    <t>امیر حسین</t>
  </si>
  <si>
    <t>امیر محمد</t>
  </si>
  <si>
    <t>امین</t>
  </si>
  <si>
    <t>انسیه</t>
  </si>
  <si>
    <t>آتنا</t>
  </si>
  <si>
    <t>آرش</t>
  </si>
  <si>
    <t>آرمن</t>
  </si>
  <si>
    <t>آسیه</t>
  </si>
  <si>
    <t>آناهیتا</t>
  </si>
  <si>
    <t>آنیا</t>
  </si>
  <si>
    <t>آیدا</t>
  </si>
  <si>
    <t>بتول</t>
  </si>
  <si>
    <t>بشری</t>
  </si>
  <si>
    <t>بهاره</t>
  </si>
  <si>
    <t>بهروز</t>
  </si>
  <si>
    <t>بهزاد</t>
  </si>
  <si>
    <t>بهناز</t>
  </si>
  <si>
    <t>بهنام</t>
  </si>
  <si>
    <t>پروانه</t>
  </si>
  <si>
    <t>پیمان</t>
  </si>
  <si>
    <t>تقی</t>
  </si>
  <si>
    <t>ثنا سادات</t>
  </si>
  <si>
    <t>جلال</t>
  </si>
  <si>
    <t>جلیل</t>
  </si>
  <si>
    <t>جمیله</t>
  </si>
  <si>
    <t>حامد</t>
  </si>
  <si>
    <t>حسن</t>
  </si>
  <si>
    <t>حسین</t>
  </si>
  <si>
    <t>حمید</t>
  </si>
  <si>
    <t>حمیدرضا</t>
  </si>
  <si>
    <t>حمیرا</t>
  </si>
  <si>
    <t>خدیجه</t>
  </si>
  <si>
    <t>داود</t>
  </si>
  <si>
    <t>دنیا</t>
  </si>
  <si>
    <t>رحمان</t>
  </si>
  <si>
    <t>رسول</t>
  </si>
  <si>
    <t>رضا</t>
  </si>
  <si>
    <t>رضوان</t>
  </si>
  <si>
    <t>ریحانه</t>
  </si>
  <si>
    <t>زهرا</t>
  </si>
  <si>
    <t>زهره</t>
  </si>
  <si>
    <t>زیبا</t>
  </si>
  <si>
    <t>زینب</t>
  </si>
  <si>
    <t xml:space="preserve">زینب </t>
  </si>
  <si>
    <t>سارا</t>
  </si>
  <si>
    <t>سالومه</t>
  </si>
  <si>
    <t>سپیده</t>
  </si>
  <si>
    <t>ستایش</t>
  </si>
  <si>
    <t>سجاد</t>
  </si>
  <si>
    <t>سحر</t>
  </si>
  <si>
    <t>سروش</t>
  </si>
  <si>
    <t>سعید</t>
  </si>
  <si>
    <t>سعید اله</t>
  </si>
  <si>
    <t>سکینه</t>
  </si>
  <si>
    <t>سلیم</t>
  </si>
  <si>
    <t>سمانه</t>
  </si>
  <si>
    <t>سمیرا</t>
  </si>
  <si>
    <t>سمیه</t>
  </si>
  <si>
    <t>سولماز</t>
  </si>
  <si>
    <t>سید شهاب الدین</t>
  </si>
  <si>
    <t xml:space="preserve">سید علیرضا </t>
  </si>
  <si>
    <t>سید مجتبی</t>
  </si>
  <si>
    <t>سید مسعود</t>
  </si>
  <si>
    <t>سید مهدی</t>
  </si>
  <si>
    <t>سید ه ندا</t>
  </si>
  <si>
    <t>سیده فاطمه</t>
  </si>
  <si>
    <t>شهباز</t>
  </si>
  <si>
    <t>شهروز</t>
  </si>
  <si>
    <t>شهریار</t>
  </si>
  <si>
    <t>طاهر</t>
  </si>
  <si>
    <t>عاطفه</t>
  </si>
  <si>
    <t>عباس</t>
  </si>
  <si>
    <t>عرفان</t>
  </si>
  <si>
    <t>عطیه</t>
  </si>
  <si>
    <t>علی</t>
  </si>
  <si>
    <t>علی اصغر</t>
  </si>
  <si>
    <t>علیرضا</t>
  </si>
  <si>
    <t>عهدیه</t>
  </si>
  <si>
    <t>غلامرضا</t>
  </si>
  <si>
    <t>غلامعباس</t>
  </si>
  <si>
    <t>فرامرز</t>
  </si>
  <si>
    <t>محسن</t>
  </si>
  <si>
    <t>محمد</t>
  </si>
  <si>
    <t>محمدرضا</t>
  </si>
  <si>
    <t>محمدعلی</t>
  </si>
  <si>
    <t>محمود</t>
  </si>
  <si>
    <t>مرتضی</t>
  </si>
  <si>
    <t>مصطفی</t>
  </si>
  <si>
    <t>مهدی</t>
  </si>
  <si>
    <t>یوسفی نژاد</t>
  </si>
  <si>
    <t>یوسفی</t>
  </si>
  <si>
    <t>یگانه فر</t>
  </si>
  <si>
    <t>یزدانیان</t>
  </si>
  <si>
    <t>یزدانپناه</t>
  </si>
  <si>
    <t>یاقوت فام</t>
  </si>
  <si>
    <t>وهابی</t>
  </si>
  <si>
    <t>وکیلی</t>
  </si>
  <si>
    <t>واعظی</t>
  </si>
  <si>
    <t>وارسته</t>
  </si>
  <si>
    <t>هزاوه</t>
  </si>
  <si>
    <t>هداوند</t>
  </si>
  <si>
    <t>نیک اندیش</t>
  </si>
  <si>
    <t>نویدمقدم</t>
  </si>
  <si>
    <t>نوروزی پسند</t>
  </si>
  <si>
    <t>نوروزی</t>
  </si>
  <si>
    <t>نورانی داباد</t>
  </si>
  <si>
    <t>نور محمدی فرد</t>
  </si>
  <si>
    <t>نمدی</t>
  </si>
  <si>
    <t>نفری</t>
  </si>
  <si>
    <t>نعمتی جرتوده</t>
  </si>
  <si>
    <t>نعمتی</t>
  </si>
  <si>
    <t>نصری</t>
  </si>
  <si>
    <t>نسرین پور</t>
  </si>
  <si>
    <t>نجفی</t>
  </si>
  <si>
    <t>میرصانع</t>
  </si>
  <si>
    <t>میراخوری</t>
  </si>
  <si>
    <t>موسیوند</t>
  </si>
  <si>
    <t>موسی پورلارتی</t>
  </si>
  <si>
    <t>مهدی زاده</t>
  </si>
  <si>
    <t>منوچهری دولابی</t>
  </si>
  <si>
    <t>منظمی</t>
  </si>
  <si>
    <t>ملکی</t>
  </si>
  <si>
    <t>ملکان</t>
  </si>
  <si>
    <t>مکی نیری</t>
  </si>
  <si>
    <t>مقصودی پور</t>
  </si>
  <si>
    <t>مقدسی</t>
  </si>
  <si>
    <t>معلمی</t>
  </si>
  <si>
    <t>مروتی</t>
  </si>
  <si>
    <t>مرادی</t>
  </si>
  <si>
    <t>محمدی طهرانی</t>
  </si>
  <si>
    <t>محمدی جلده باخانی</t>
  </si>
  <si>
    <t>محمدی</t>
  </si>
  <si>
    <t>محبی آبکنار</t>
  </si>
  <si>
    <t>مالکی</t>
  </si>
  <si>
    <t>لطف الهی</t>
  </si>
  <si>
    <t>گودرزی</t>
  </si>
  <si>
    <t>گرایلو</t>
  </si>
  <si>
    <t>کیان پور</t>
  </si>
  <si>
    <t>کیان</t>
  </si>
  <si>
    <t>کوشککی</t>
  </si>
  <si>
    <t>کوشافر</t>
  </si>
  <si>
    <t>کنعانی هرندی</t>
  </si>
  <si>
    <t>کمالی کمازانی</t>
  </si>
  <si>
    <t>کشوری</t>
  </si>
  <si>
    <t>کریمی</t>
  </si>
  <si>
    <t>کریم فر</t>
  </si>
  <si>
    <t>کریم زاده</t>
  </si>
  <si>
    <t>کرمانی</t>
  </si>
  <si>
    <t>كیانی</t>
  </si>
  <si>
    <t>قنبری</t>
  </si>
  <si>
    <t>قلاوند</t>
  </si>
  <si>
    <t>قربانی</t>
  </si>
  <si>
    <t>قدیمی</t>
  </si>
  <si>
    <t>قدوسی جوهری</t>
  </si>
  <si>
    <t>قدردان بازکیایی</t>
  </si>
  <si>
    <t>قبادی</t>
  </si>
  <si>
    <t>قاسمی وینچه</t>
  </si>
  <si>
    <t>قاسمی برمی</t>
  </si>
  <si>
    <t>قابلی سردهائی</t>
  </si>
  <si>
    <t>فیلی</t>
  </si>
  <si>
    <t>فولادگر</t>
  </si>
  <si>
    <t>فوقانی بایکی</t>
  </si>
  <si>
    <t>فهیمی باویل</t>
  </si>
  <si>
    <t>فهیمی</t>
  </si>
  <si>
    <t>فریدونی</t>
  </si>
  <si>
    <t>فروتن</t>
  </si>
  <si>
    <t>فرهی قهی</t>
  </si>
  <si>
    <t>فرهنگ قریق</t>
  </si>
  <si>
    <t>فرقی</t>
  </si>
  <si>
    <t>فرزان</t>
  </si>
  <si>
    <t>فردی</t>
  </si>
  <si>
    <t>فرد</t>
  </si>
  <si>
    <t>فرح دماوندی</t>
  </si>
  <si>
    <t>فتحی گوگردچی</t>
  </si>
  <si>
    <t>فتحی کرامی</t>
  </si>
  <si>
    <t>غنچی</t>
  </si>
  <si>
    <t>غلامی</t>
  </si>
  <si>
    <t>غلامعلی نتاج بائی</t>
  </si>
  <si>
    <t>غریب نواز</t>
  </si>
  <si>
    <t>علیمرادی</t>
  </si>
  <si>
    <t>علی محمدی</t>
  </si>
  <si>
    <t>علی اکبری</t>
  </si>
  <si>
    <t>علی اصغری</t>
  </si>
  <si>
    <t>عقیقی</t>
  </si>
  <si>
    <t>عظیمیان</t>
  </si>
  <si>
    <t>عزیزی</t>
  </si>
  <si>
    <t>عزیزمحمدی</t>
  </si>
  <si>
    <t>عرفانی</t>
  </si>
  <si>
    <t>عربی</t>
  </si>
  <si>
    <t>عبدلی</t>
  </si>
  <si>
    <t>عبدالهی</t>
  </si>
  <si>
    <t>عبدالمجید</t>
  </si>
  <si>
    <t>عبابافان</t>
  </si>
  <si>
    <t>عاکف</t>
  </si>
  <si>
    <t>طیباتی</t>
  </si>
  <si>
    <t>طباطبایی</t>
  </si>
  <si>
    <t>طایفه مکری</t>
  </si>
  <si>
    <t>طاهری</t>
  </si>
  <si>
    <t>طاهر زاده شیخانی</t>
  </si>
  <si>
    <t>صوری</t>
  </si>
  <si>
    <t>صفریان</t>
  </si>
  <si>
    <t>صفری پور</t>
  </si>
  <si>
    <t>صبوری</t>
  </si>
  <si>
    <t xml:space="preserve">صالحی دولابی </t>
  </si>
  <si>
    <t>صادقیان سدهی</t>
  </si>
  <si>
    <t>صادقی نژاد</t>
  </si>
  <si>
    <t>صادقی فر</t>
  </si>
  <si>
    <t>صادقی</t>
  </si>
  <si>
    <t>صاحبی</t>
  </si>
  <si>
    <t>شوقیان</t>
  </si>
  <si>
    <t>شهسواری</t>
  </si>
  <si>
    <t>شم آبادی</t>
  </si>
  <si>
    <t>شکرزاده</t>
  </si>
  <si>
    <t>شریفی</t>
  </si>
  <si>
    <t xml:space="preserve">شبستری فرد </t>
  </si>
  <si>
    <t>شایسته مهدیزاده</t>
  </si>
  <si>
    <t>شایسته راد</t>
  </si>
  <si>
    <t>شاهچراغی</t>
  </si>
  <si>
    <t>شاه چراغی</t>
  </si>
  <si>
    <t>شاکر</t>
  </si>
  <si>
    <t>سوداگر</t>
  </si>
  <si>
    <t>سهرابی مطلق</t>
  </si>
  <si>
    <t>سهرابی</t>
  </si>
  <si>
    <t xml:space="preserve">سلیمی </t>
  </si>
  <si>
    <t>سلیمی</t>
  </si>
  <si>
    <t>سلیمانپور</t>
  </si>
  <si>
    <t>سلیم خان شقاقی</t>
  </si>
  <si>
    <t>سلطان زاده</t>
  </si>
  <si>
    <t>سلحشور</t>
  </si>
  <si>
    <t>یوسف</t>
  </si>
  <si>
    <t>حبیب اله</t>
  </si>
  <si>
    <t>مطلب</t>
  </si>
  <si>
    <t>نبی اله</t>
  </si>
  <si>
    <t>صفی اله</t>
  </si>
  <si>
    <t>قربانعلی</t>
  </si>
  <si>
    <t>عبدالصمد</t>
  </si>
  <si>
    <t>مراد علی</t>
  </si>
  <si>
    <t>علی اشرف</t>
  </si>
  <si>
    <t>علی اکبر</t>
  </si>
  <si>
    <t>علی جعفر</t>
  </si>
  <si>
    <t>اکبرآقا</t>
  </si>
  <si>
    <t>اسرافیل</t>
  </si>
  <si>
    <t>فرانوش</t>
  </si>
  <si>
    <t>ابوالقاسم</t>
  </si>
  <si>
    <t>داریوش</t>
  </si>
  <si>
    <t>عباسعلی</t>
  </si>
  <si>
    <t>رحیم</t>
  </si>
  <si>
    <t>ایرج</t>
  </si>
  <si>
    <t>میر</t>
  </si>
  <si>
    <t>هوشنگ</t>
  </si>
  <si>
    <t>رمضانعلی</t>
  </si>
  <si>
    <t>ابوالحسن</t>
  </si>
  <si>
    <t>عیسی</t>
  </si>
  <si>
    <t>غلامحسین</t>
  </si>
  <si>
    <t>اسمائیل</t>
  </si>
  <si>
    <t>هادی</t>
  </si>
  <si>
    <t>خدارحیم</t>
  </si>
  <si>
    <t>کرم اله</t>
  </si>
  <si>
    <t>علی محمد</t>
  </si>
  <si>
    <t>فیض اله</t>
  </si>
  <si>
    <t>سلیمان</t>
  </si>
  <si>
    <t xml:space="preserve">احمدعلی </t>
  </si>
  <si>
    <t>صفر علی</t>
  </si>
  <si>
    <t>ابراهیم</t>
  </si>
  <si>
    <t>جمشید</t>
  </si>
  <si>
    <t>بهمن</t>
  </si>
  <si>
    <t>حیدر</t>
  </si>
  <si>
    <t>نصراله</t>
  </si>
  <si>
    <t>عبدالحسین</t>
  </si>
  <si>
    <t>خسرو</t>
  </si>
  <si>
    <t>مهرداد</t>
  </si>
  <si>
    <t>مجتبی</t>
  </si>
  <si>
    <t>حميدرضا</t>
  </si>
  <si>
    <t>حشمت اله</t>
  </si>
  <si>
    <t>منوچهر</t>
  </si>
  <si>
    <t>ملکعلی</t>
  </si>
  <si>
    <t>قاسم</t>
  </si>
  <si>
    <t>ذبیح الله</t>
  </si>
  <si>
    <t>محمد باقر</t>
  </si>
  <si>
    <t>لطف اله</t>
  </si>
  <si>
    <t>کریم</t>
  </si>
  <si>
    <t>سید باقر</t>
  </si>
  <si>
    <t>یادگار</t>
  </si>
  <si>
    <t>محمدتقی</t>
  </si>
  <si>
    <t>بهرام</t>
  </si>
  <si>
    <t>صیدعلی</t>
  </si>
  <si>
    <t>امیرحسین</t>
  </si>
  <si>
    <t>عبداله</t>
  </si>
  <si>
    <t>منصور</t>
  </si>
  <si>
    <t>رجب</t>
  </si>
  <si>
    <t>رحمت اله</t>
  </si>
  <si>
    <t>بهلول</t>
  </si>
  <si>
    <t>حیبیب اله</t>
  </si>
  <si>
    <t>سیدکمال</t>
  </si>
  <si>
    <t>عربعلی</t>
  </si>
  <si>
    <t>اردشیر</t>
  </si>
  <si>
    <t>محمدحسین</t>
  </si>
  <si>
    <t>حاتم</t>
  </si>
  <si>
    <t>علی رضا</t>
  </si>
  <si>
    <t>ماشالله</t>
  </si>
  <si>
    <t>عزیزاله</t>
  </si>
  <si>
    <t>عبدالخالق</t>
  </si>
  <si>
    <t>پرویز</t>
  </si>
  <si>
    <t>یداله</t>
  </si>
  <si>
    <t>عادل</t>
  </si>
  <si>
    <t>1377/04/17</t>
  </si>
  <si>
    <t>1369/05/08</t>
  </si>
  <si>
    <t>1367/03/01</t>
  </si>
  <si>
    <t>1357/09/19</t>
  </si>
  <si>
    <t>1372/01/13</t>
  </si>
  <si>
    <t>1356/07/01</t>
  </si>
  <si>
    <t>1357/05/01</t>
  </si>
  <si>
    <t>1355/06/02</t>
  </si>
  <si>
    <t>1370/10/04</t>
  </si>
  <si>
    <t>1368/01/09</t>
  </si>
  <si>
    <t>1366/06/31</t>
  </si>
  <si>
    <t>1372/08/14</t>
  </si>
  <si>
    <t>1367/06/15</t>
  </si>
  <si>
    <t>1366/11/28</t>
  </si>
  <si>
    <t>1375/05/15</t>
  </si>
  <si>
    <t>1360/06/20</t>
  </si>
  <si>
    <t>1356/06/30</t>
  </si>
  <si>
    <t>1371/04/19</t>
  </si>
  <si>
    <t>1366/02/17</t>
  </si>
  <si>
    <t>1362/06/31</t>
  </si>
  <si>
    <t>1369/06/30</t>
  </si>
  <si>
    <t>1369/08/13</t>
  </si>
  <si>
    <t>1373/06/28</t>
  </si>
  <si>
    <t>1362/06/04</t>
  </si>
  <si>
    <t>1351/05/24</t>
  </si>
  <si>
    <t>1369/10/02</t>
  </si>
  <si>
    <t>1374/06/05</t>
  </si>
  <si>
    <t>1366/03/14</t>
  </si>
  <si>
    <t>1366/06/28</t>
  </si>
  <si>
    <t>1366/06/30</t>
  </si>
  <si>
    <t>1369/09/01</t>
  </si>
  <si>
    <t>1365/02/14</t>
  </si>
  <si>
    <t>1363/06/25</t>
  </si>
  <si>
    <t>1363/06/04</t>
  </si>
  <si>
    <t>1359/05/20</t>
  </si>
  <si>
    <t>1398/10/23</t>
  </si>
  <si>
    <t>1356/06/15</t>
  </si>
  <si>
    <t>1371/05/18</t>
  </si>
  <si>
    <t>1362/10/08</t>
  </si>
  <si>
    <t>1370/06/24</t>
  </si>
  <si>
    <t>1369/12/18</t>
  </si>
  <si>
    <t>1362/04/01</t>
  </si>
  <si>
    <t>1354/01/02</t>
  </si>
  <si>
    <t>1373/05/29</t>
  </si>
  <si>
    <t>1368/01/26</t>
  </si>
  <si>
    <t>1368/01/01</t>
  </si>
  <si>
    <t>1368/03/18</t>
  </si>
  <si>
    <t>1368/04/01</t>
  </si>
  <si>
    <t>1368/05/05</t>
  </si>
  <si>
    <t>1368/06/15</t>
  </si>
  <si>
    <t>1368/06/19</t>
  </si>
  <si>
    <t>1368/03/27</t>
  </si>
  <si>
    <t>1368/08/28</t>
  </si>
  <si>
    <t>1368/10/16</t>
  </si>
  <si>
    <t>1368/09/26</t>
  </si>
  <si>
    <t>1368/12/06</t>
  </si>
  <si>
    <t>1369/01/13</t>
  </si>
  <si>
    <t>1368/11/11</t>
  </si>
  <si>
    <t>1369/01/29</t>
  </si>
  <si>
    <t>1369/01/03</t>
  </si>
  <si>
    <t>1368/11/20</t>
  </si>
  <si>
    <t>1369/02/29</t>
  </si>
  <si>
    <t>1369/03/31</t>
  </si>
  <si>
    <t>1369/09/09</t>
  </si>
  <si>
    <t>1369/10/16</t>
  </si>
  <si>
    <t>1369/10/14</t>
  </si>
  <si>
    <t>1369/10/23</t>
  </si>
  <si>
    <t>1369/11/09</t>
  </si>
  <si>
    <t>1370/01/27</t>
  </si>
  <si>
    <t>1369/11/21</t>
  </si>
  <si>
    <t>1370/06/05</t>
  </si>
  <si>
    <t>1370/08/12</t>
  </si>
  <si>
    <t>1371/04/21</t>
  </si>
  <si>
    <t>1371/05/25</t>
  </si>
  <si>
    <t>1371/06/11</t>
  </si>
  <si>
    <t>1371/06/29</t>
  </si>
  <si>
    <t>1371/07/05</t>
  </si>
  <si>
    <t>1371/11/13</t>
  </si>
  <si>
    <t>1371/11/04</t>
  </si>
  <si>
    <t>1371/10/10</t>
  </si>
  <si>
    <t>1371/12/12</t>
  </si>
  <si>
    <t>1371/11/26</t>
  </si>
  <si>
    <t>1371/11/23</t>
  </si>
  <si>
    <t>1371/12/26</t>
  </si>
  <si>
    <t>1371/12/08</t>
  </si>
  <si>
    <t>1372/01/20</t>
  </si>
  <si>
    <t>1372/03/07</t>
  </si>
  <si>
    <t>1372/05/05</t>
  </si>
  <si>
    <t>1372/07/15</t>
  </si>
  <si>
    <t>1371/04/15</t>
  </si>
  <si>
    <t>1373/02/09</t>
  </si>
  <si>
    <t>1373/11/04</t>
  </si>
  <si>
    <t>1373/11/29</t>
  </si>
  <si>
    <t>1374/06/19</t>
  </si>
  <si>
    <t>1374/06/27</t>
  </si>
  <si>
    <t>1374/05/24</t>
  </si>
  <si>
    <t>1375/04/13</t>
  </si>
  <si>
    <t>1375/01/27</t>
  </si>
  <si>
    <t>1375/05/26</t>
  </si>
  <si>
    <t>1375/07/09</t>
  </si>
  <si>
    <t>1375/11/17</t>
  </si>
  <si>
    <t>1375/07/07</t>
  </si>
  <si>
    <t>1375/12/19</t>
  </si>
  <si>
    <t>1377/06/30</t>
  </si>
  <si>
    <t>1377/09/15</t>
  </si>
  <si>
    <t>1379/02/04</t>
  </si>
  <si>
    <t>1371/11/17</t>
  </si>
  <si>
    <t>1344/12/01</t>
  </si>
  <si>
    <t>1341/06/01</t>
  </si>
  <si>
    <t>1342/12/25</t>
  </si>
  <si>
    <t>1331/08/15</t>
  </si>
  <si>
    <t>1349/06/09</t>
  </si>
  <si>
    <t>1399/11/1</t>
  </si>
  <si>
    <t>1349/10/03</t>
  </si>
  <si>
    <t>1352/05/12</t>
  </si>
  <si>
    <t>1350/08/21</t>
  </si>
  <si>
    <t>1352/01/10</t>
  </si>
  <si>
    <t>1350/07/22</t>
  </si>
  <si>
    <t>1358/11/17</t>
  </si>
  <si>
    <t>1358/12/22</t>
  </si>
  <si>
    <t>1354/09/10</t>
  </si>
  <si>
    <t>1362/12/22</t>
  </si>
  <si>
    <t>1362/04/09</t>
  </si>
  <si>
    <t>1362/10/28</t>
  </si>
  <si>
    <t>1363/06/07</t>
  </si>
  <si>
    <t>1357/06/24</t>
  </si>
  <si>
    <t>1359/06/24</t>
  </si>
  <si>
    <t>1361/09/04</t>
  </si>
  <si>
    <t>1356/06/23</t>
  </si>
  <si>
    <t>1358/06/15</t>
  </si>
  <si>
    <t>1357/02/10</t>
  </si>
  <si>
    <t>1361/01/21</t>
  </si>
  <si>
    <t>1354/10/28</t>
  </si>
  <si>
    <t>1361/01/27</t>
  </si>
  <si>
    <t>1363/09/23</t>
  </si>
  <si>
    <t>زن</t>
  </si>
  <si>
    <t>دیپلم</t>
  </si>
  <si>
    <t>مرد</t>
  </si>
  <si>
    <t>کارشناسی</t>
  </si>
  <si>
    <t>کاردانی</t>
  </si>
  <si>
    <t>کارشناسی ارشد</t>
  </si>
  <si>
    <t>زیر دیپلم</t>
  </si>
  <si>
    <t>دکترا</t>
  </si>
  <si>
    <t>شماره پرسنلی</t>
  </si>
  <si>
    <t>ماه</t>
  </si>
  <si>
    <t>مبلغ (ریال)</t>
  </si>
  <si>
    <t>درصد فروشنده</t>
  </si>
  <si>
    <t>ماه تولد</t>
  </si>
  <si>
    <t>1372/05/24</t>
  </si>
  <si>
    <t>1372/11/17</t>
  </si>
  <si>
    <t>1399/09/01</t>
  </si>
  <si>
    <t>1346/04/01</t>
  </si>
  <si>
    <t>1376/09/04</t>
  </si>
  <si>
    <t>1399/07/01</t>
  </si>
  <si>
    <t>1399/04/01</t>
  </si>
  <si>
    <t>1399/08/01</t>
  </si>
  <si>
    <t>1399/04/15</t>
  </si>
  <si>
    <t>سال تولد</t>
  </si>
  <si>
    <t>نوع فعالیت</t>
  </si>
  <si>
    <t>نوع قرارداد</t>
  </si>
  <si>
    <t>پاره وقت</t>
  </si>
  <si>
    <t>تمام وقت</t>
  </si>
  <si>
    <t>سمت</t>
  </si>
  <si>
    <t>کارشناس</t>
  </si>
  <si>
    <t>مدیر</t>
  </si>
  <si>
    <t>کارشناس ارشد</t>
  </si>
  <si>
    <t>انبار دار</t>
  </si>
  <si>
    <t>کمک انبار دار</t>
  </si>
  <si>
    <t>کارگر ساده</t>
  </si>
  <si>
    <t>راننده لیفتراک</t>
  </si>
  <si>
    <t>تعمیرکار</t>
  </si>
  <si>
    <t>اپراتور دستگاه</t>
  </si>
  <si>
    <t>خدمات</t>
  </si>
  <si>
    <t>راننده</t>
  </si>
  <si>
    <t>حراست</t>
  </si>
  <si>
    <t>فروش</t>
  </si>
  <si>
    <t>حسابداری</t>
  </si>
  <si>
    <t>فنی</t>
  </si>
  <si>
    <t>انباردار</t>
  </si>
  <si>
    <t>پاداش فروشنده</t>
  </si>
  <si>
    <t>Column Labels</t>
  </si>
  <si>
    <t>جهت سورت ماه</t>
  </si>
  <si>
    <t>فروردین</t>
  </si>
  <si>
    <t>اردیبهشت</t>
  </si>
  <si>
    <t>خرداد</t>
  </si>
  <si>
    <t>تیر</t>
  </si>
  <si>
    <t>مرداد</t>
  </si>
  <si>
    <t>شهریور</t>
  </si>
  <si>
    <t>مهر</t>
  </si>
  <si>
    <t>آبان</t>
  </si>
  <si>
    <t>آذر</t>
  </si>
  <si>
    <t>دی</t>
  </si>
  <si>
    <t>اسفند</t>
  </si>
  <si>
    <t>ترکیب نام و نام خانوادگی</t>
  </si>
  <si>
    <t>فصل</t>
  </si>
  <si>
    <t>بهار</t>
  </si>
  <si>
    <t>تابستان</t>
  </si>
  <si>
    <t>پاییز</t>
  </si>
  <si>
    <t>زمستان</t>
  </si>
  <si>
    <t>Row Labels</t>
  </si>
  <si>
    <t>Grand Total</t>
  </si>
  <si>
    <t>Count of شماره پرسنلی</t>
  </si>
  <si>
    <t>Sum of مبلغ (ریال)</t>
  </si>
  <si>
    <t>Count of کد ملی</t>
  </si>
  <si>
    <t xml:space="preserve">تمام وقت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</si>
</sst>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 "/>
  </numFmts>
  <fonts count="7">
    <font>
      <sz val="11"/>
      <color theme="1"/>
      <name val="Arial"/>
      <family val="2"/>
      <scheme val="minor"/>
    </font>
    <font>
      <sz val="11"/>
      <color theme="1"/>
      <name val="Arial"/>
      <family val="2"/>
      <scheme val="minor"/>
    </font>
    <font>
      <sz val="14"/>
      <color theme="1"/>
      <name val="B Mitra"/>
      <charset val="178"/>
    </font>
    <font>
      <sz val="8"/>
      <name val="Arial"/>
      <family val="2"/>
      <scheme val="minor"/>
    </font>
    <font>
      <b/>
      <sz val="14"/>
      <color theme="1" tint="4.9989318521683403E-2"/>
      <name val="B Mitra"/>
      <charset val="178"/>
    </font>
    <font>
      <b/>
      <sz val="11"/>
      <color theme="1" tint="4.9989318521683403E-2"/>
      <name val="B Mitra"/>
      <charset val="178"/>
    </font>
    <font>
      <sz val="14"/>
      <color theme="1"/>
      <name val="Vazirmatn FD"/>
    </font>
  </fonts>
  <fills count="4">
    <fill>
      <patternFill patternType="none"/>
    </fill>
    <fill>
      <patternFill patternType="gray125"/>
    </fill>
    <fill>
      <patternFill patternType="solid">
        <fgColor rgb="FF92D050"/>
        <bgColor indexed="64"/>
      </patternFill>
    </fill>
    <fill>
      <patternFill patternType="solid">
        <fgColor rgb="FF319DA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9" fontId="1" fillId="0" borderId="0" applyFont="0" applyFill="0" applyBorder="0" applyAlignment="0" applyProtection="0"/>
  </cellStyleXfs>
  <cellXfs count="30">
    <xf numFmtId="0" fontId="0" fillId="0" borderId="0" xfId="0"/>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4" fillId="2" borderId="4" xfId="0" applyFont="1" applyFill="1" applyBorder="1" applyAlignment="1">
      <alignment horizontal="center" vertical="center" wrapText="1" readingOrder="2"/>
    </xf>
    <xf numFmtId="0" fontId="4" fillId="2" borderId="5" xfId="0" applyFont="1" applyFill="1" applyBorder="1" applyAlignment="1">
      <alignment horizontal="center" vertical="center" wrapText="1" readingOrder="2"/>
    </xf>
    <xf numFmtId="0" fontId="4" fillId="2" borderId="6" xfId="0" applyFont="1" applyFill="1" applyBorder="1" applyAlignment="1">
      <alignment horizontal="center" vertical="center" wrapText="1" readingOrder="2"/>
    </xf>
    <xf numFmtId="3" fontId="4" fillId="2" borderId="5" xfId="0" applyNumberFormat="1" applyFont="1" applyFill="1" applyBorder="1" applyAlignment="1">
      <alignment horizontal="center" vertical="center" wrapText="1" readingOrder="2"/>
    </xf>
    <xf numFmtId="3" fontId="4" fillId="2" borderId="6" xfId="0" applyNumberFormat="1" applyFont="1" applyFill="1" applyBorder="1" applyAlignment="1">
      <alignment horizontal="center" vertical="center" wrapText="1" readingOrder="2"/>
    </xf>
    <xf numFmtId="3" fontId="0" fillId="0" borderId="0" xfId="0" applyNumberFormat="1"/>
    <xf numFmtId="10" fontId="4" fillId="2" borderId="5" xfId="0" applyNumberFormat="1" applyFont="1" applyFill="1" applyBorder="1" applyAlignment="1">
      <alignment horizontal="center" vertical="center" wrapText="1" readingOrder="2"/>
    </xf>
    <xf numFmtId="10" fontId="0" fillId="0" borderId="0" xfId="0" applyNumberFormat="1"/>
    <xf numFmtId="0" fontId="5" fillId="2" borderId="5" xfId="0" applyFont="1" applyFill="1" applyBorder="1" applyAlignment="1">
      <alignment horizontal="center" vertical="center" wrapText="1" readingOrder="2"/>
    </xf>
    <xf numFmtId="0" fontId="0" fillId="0" borderId="0" xfId="0" pivotButton="1"/>
    <xf numFmtId="0" fontId="0" fillId="0" borderId="0" xfId="0" applyAlignment="1">
      <alignment horizontal="right"/>
    </xf>
    <xf numFmtId="0" fontId="0" fillId="3" borderId="0" xfId="0" applyFill="1"/>
    <xf numFmtId="3" fontId="0" fillId="0" borderId="0" xfId="0" pivotButton="1" applyNumberFormat="1"/>
    <xf numFmtId="164" fontId="0" fillId="0" borderId="0" xfId="0" applyNumberFormat="1"/>
    <xf numFmtId="0" fontId="6" fillId="0" borderId="2" xfId="0" applyFont="1" applyBorder="1" applyAlignment="1">
      <alignment horizontal="center" vertical="center"/>
    </xf>
    <xf numFmtId="0" fontId="6" fillId="0" borderId="1" xfId="0" applyFont="1" applyBorder="1" applyAlignment="1">
      <alignment horizontal="center" vertical="center"/>
    </xf>
    <xf numFmtId="3" fontId="6" fillId="0" borderId="1" xfId="0" applyNumberFormat="1" applyFont="1" applyBorder="1" applyAlignment="1">
      <alignment horizontal="center" vertical="center"/>
    </xf>
    <xf numFmtId="10" fontId="6" fillId="0" borderId="1" xfId="1" applyNumberFormat="1" applyFont="1" applyBorder="1" applyAlignment="1">
      <alignment horizontal="center" vertical="center"/>
    </xf>
    <xf numFmtId="3" fontId="6" fillId="0" borderId="3" xfId="0" applyNumberFormat="1" applyFont="1" applyBorder="1" applyAlignment="1">
      <alignment horizontal="center" vertical="center"/>
    </xf>
    <xf numFmtId="0" fontId="6" fillId="0" borderId="8" xfId="0" applyFont="1" applyBorder="1" applyAlignment="1">
      <alignment horizontal="center" vertical="center"/>
    </xf>
    <xf numFmtId="3" fontId="6" fillId="0" borderId="8" xfId="0" applyNumberFormat="1" applyFont="1" applyBorder="1" applyAlignment="1">
      <alignment horizontal="center" vertical="center"/>
    </xf>
    <xf numFmtId="10" fontId="6" fillId="0" borderId="8" xfId="1" applyNumberFormat="1" applyFont="1" applyBorder="1" applyAlignment="1">
      <alignment horizontal="center" vertical="center"/>
    </xf>
    <xf numFmtId="3" fontId="6" fillId="0" borderId="9" xfId="0" applyNumberFormat="1" applyFont="1" applyBorder="1" applyAlignment="1">
      <alignment horizontal="center" vertical="center"/>
    </xf>
    <xf numFmtId="3" fontId="6" fillId="0" borderId="2" xfId="0" applyNumberFormat="1" applyFont="1" applyBorder="1" applyAlignment="1">
      <alignment horizontal="center" vertical="center"/>
    </xf>
    <xf numFmtId="0" fontId="6" fillId="0" borderId="7" xfId="0" applyFont="1" applyBorder="1" applyAlignment="1">
      <alignment horizontal="center" vertical="center"/>
    </xf>
    <xf numFmtId="3" fontId="6" fillId="0" borderId="7" xfId="0" applyNumberFormat="1" applyFont="1" applyBorder="1" applyAlignment="1">
      <alignment horizontal="center" vertical="center"/>
    </xf>
  </cellXfs>
  <cellStyles count="2">
    <cellStyle name="Normal" xfId="0" builtinId="0"/>
    <cellStyle name="Percent" xfId="1" builtinId="5"/>
  </cellStyles>
  <dxfs count="43">
    <dxf>
      <numFmt numFmtId="164" formatCode="#,##0\ "/>
    </dxf>
    <dxf>
      <numFmt numFmtId="3" formatCode="#,##0"/>
    </dxf>
    <dxf>
      <numFmt numFmtId="3" formatCode="#,##0"/>
    </dxf>
    <dxf>
      <numFmt numFmtId="3" formatCode="#,##0"/>
    </dxf>
    <dxf>
      <numFmt numFmtId="3" formatCode="#,##0"/>
    </dxf>
    <dxf>
      <numFmt numFmtId="3" formatCode="#,##0"/>
    </dxf>
    <dxf>
      <font>
        <b val="0"/>
        <i val="0"/>
        <strike val="0"/>
        <condense val="0"/>
        <extend val="0"/>
        <outline val="0"/>
        <shadow val="0"/>
        <u val="none"/>
        <vertAlign val="baseline"/>
        <sz val="14"/>
        <color theme="1"/>
        <name val="B Mitra"/>
        <charset val="178"/>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style="thin">
          <color indexed="64"/>
        </horizontal>
      </border>
    </dxf>
    <dxf>
      <font>
        <b val="0"/>
        <i val="0"/>
        <strike val="0"/>
        <condense val="0"/>
        <extend val="0"/>
        <outline val="0"/>
        <shadow val="0"/>
        <u val="none"/>
        <vertAlign val="baseline"/>
        <sz val="14"/>
        <color theme="1"/>
        <name val="B Mitra"/>
        <charset val="17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4"/>
        <color theme="1"/>
        <name val="B Mitra"/>
        <charset val="178"/>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4"/>
        <color theme="1"/>
        <name val="B Mitra"/>
        <charset val="178"/>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4"/>
        <color theme="1"/>
        <name val="B Mitra"/>
        <charset val="17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4"/>
        <color theme="1"/>
        <name val="B Mitra"/>
        <charset val="17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4"/>
        <color theme="1"/>
        <name val="B Mitra"/>
        <charset val="17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4"/>
        <color theme="1"/>
        <name val="B Mitra"/>
        <charset val="17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4"/>
        <color theme="1"/>
        <name val="B Mitra"/>
        <charset val="17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4"/>
        <color theme="1"/>
        <name val="B Mitra"/>
        <charset val="17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4"/>
        <color theme="1"/>
        <name val="B Mitra"/>
        <charset val="17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4"/>
        <color theme="1"/>
        <name val="B Mitra"/>
        <charset val="17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4"/>
        <color theme="1"/>
        <name val="B Mitra"/>
        <charset val="17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4"/>
        <color theme="1"/>
        <name val="B Mitra"/>
        <charset val="17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4"/>
        <color theme="1"/>
        <name val="B Mitra"/>
        <charset val="178"/>
        <scheme val="none"/>
      </font>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B Mitra"/>
        <charset val="178"/>
        <scheme val="none"/>
      </font>
      <fill>
        <patternFill patternType="solid">
          <fgColor indexed="64"/>
          <bgColor rgb="FF92D050"/>
        </patternFill>
      </fill>
      <alignment horizontal="center" vertical="center" textRotation="0" wrapText="1" indent="0" justifyLastLine="0" shrinkToFit="0" readingOrder="2"/>
      <border diagonalUp="0" diagonalDown="0" outline="0">
        <left style="thin">
          <color indexed="64"/>
        </left>
        <right style="thin">
          <color indexed="64"/>
        </right>
        <top/>
        <bottom/>
      </border>
    </dxf>
    <dxf>
      <font>
        <b val="0"/>
        <i val="0"/>
        <strike val="0"/>
        <condense val="0"/>
        <extend val="0"/>
        <outline val="0"/>
        <shadow val="0"/>
        <u val="none"/>
        <vertAlign val="baseline"/>
        <sz val="14"/>
        <color theme="1"/>
        <name val="Vazirmatn FD"/>
        <scheme val="none"/>
      </font>
      <numFmt numFmtId="3" formatCode="#,##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4"/>
        <color theme="1"/>
        <name val="Vazirmatn FD"/>
        <scheme val="none"/>
      </font>
      <numFmt numFmtId="14"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Vazirmatn FD"/>
        <scheme val="none"/>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Vazirmatn FD"/>
        <scheme val="none"/>
      </font>
      <numFmt numFmtId="0" formatCode="Genera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Vazirmatn FD"/>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Vazirmatn FD"/>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Vazirmatn FD"/>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Vazirmatn FD"/>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Vazirmatn FD"/>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Vazirmatn FD"/>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4"/>
        <color theme="1"/>
        <name val="Vazirmatn FD"/>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14"/>
        <color theme="1"/>
        <name val="Vazirmatn FD"/>
        <scheme val="none"/>
      </font>
    </dxf>
    <dxf>
      <border outline="0">
        <bottom style="thin">
          <color indexed="64"/>
        </bottom>
      </border>
    </dxf>
    <dxf>
      <font>
        <b/>
        <i val="0"/>
        <strike val="0"/>
        <condense val="0"/>
        <extend val="0"/>
        <outline val="0"/>
        <shadow val="0"/>
        <u val="none"/>
        <vertAlign val="baseline"/>
        <sz val="14"/>
        <color theme="1" tint="4.9989318521683403E-2"/>
        <name val="B Mitra"/>
        <charset val="178"/>
        <scheme val="none"/>
      </font>
      <fill>
        <patternFill patternType="solid">
          <fgColor indexed="64"/>
          <bgColor rgb="FF92D050"/>
        </patternFill>
      </fill>
      <alignment horizontal="center" vertical="center" textRotation="0" wrapText="1" indent="0" justifyLastLine="0" shrinkToFit="0" readingOrder="2"/>
      <border diagonalUp="0" diagonalDown="0" outline="0">
        <left style="thin">
          <color indexed="64"/>
        </left>
        <right style="thin">
          <color indexed="64"/>
        </right>
        <top/>
        <bottom/>
      </border>
    </dxf>
    <dxf>
      <fill>
        <patternFill>
          <bgColor rgb="FF002060"/>
        </patternFill>
      </fill>
    </dxf>
    <dxf>
      <font>
        <name val="B Titr"/>
        <charset val="178"/>
      </font>
      <fill>
        <patternFill>
          <bgColor rgb="FFFFD39A"/>
        </patternFill>
      </fill>
    </dxf>
  </dxfs>
  <tableStyles count="4" defaultTableStyle="TableStyleMedium2" defaultPivotStyle="PivotStyleLight16">
    <tableStyle name="Slicer Style 1" pivot="0" table="0" count="0" xr9:uid="{7BC909AF-C8AD-459D-A4AC-8493050BB42C}"/>
    <tableStyle name="Slicer Style 2" pivot="0" table="0" count="6" xr9:uid="{9C5AEE66-2584-46B8-BBDB-CAB01A6F3FDD}">
      <tableStyleElement type="wholeTable" dxfId="42"/>
    </tableStyle>
    <tableStyle name="Slicer Style 3" pivot="0" table="0" count="5" xr9:uid="{28119342-8FCD-4266-9A78-C5FB2E1E126D}">
      <tableStyleElement type="wholeTable" dxfId="41"/>
    </tableStyle>
    <tableStyle name="Slicer Style 4" pivot="0" table="0" count="1" xr9:uid="{74941C96-A28C-4CE2-A930-94DFF3BFACE3}"/>
  </tableStyles>
  <colors>
    <mruColors>
      <color rgb="FF2EFE60"/>
      <color rgb="FFF94C66"/>
      <color rgb="FF66CCFF"/>
      <color rgb="FF00CCFF"/>
      <color rgb="FF53BF9D"/>
      <color rgb="FFE04210"/>
      <color rgb="FFCC66FF"/>
      <color rgb="FFFF33CC"/>
      <color rgb="FFFFC54D"/>
      <color rgb="FFFF99FF"/>
    </mruColors>
  </colors>
  <extLst>
    <ext xmlns:x14="http://schemas.microsoft.com/office/spreadsheetml/2009/9/main" uri="{46F421CA-312F-682f-3DD2-61675219B42D}">
      <x14:dxfs count="10">
        <dxf>
          <fill>
            <patternFill>
              <bgColor rgb="FFCC66FF"/>
            </patternFill>
          </fill>
        </dxf>
        <dxf>
          <fill>
            <patternFill>
              <bgColor rgb="FF92D050"/>
            </patternFill>
          </fill>
        </dxf>
        <dxf>
          <fill>
            <patternFill>
              <bgColor theme="7" tint="0.59996337778862885"/>
            </patternFill>
          </fill>
        </dxf>
        <dxf>
          <fill>
            <patternFill>
              <bgColor rgb="FF2EFE60"/>
            </patternFill>
          </fill>
        </dxf>
        <dxf>
          <fill>
            <patternFill>
              <bgColor theme="4" tint="0.59996337778862885"/>
            </patternFill>
          </fill>
        </dxf>
        <dxf>
          <fill>
            <patternFill>
              <bgColor rgb="FFC00000"/>
            </patternFill>
          </fill>
        </dxf>
        <dxf>
          <fill>
            <patternFill>
              <bgColor theme="9" tint="0.39994506668294322"/>
            </patternFill>
          </fill>
        </dxf>
        <dxf>
          <fill>
            <patternFill>
              <bgColor theme="0" tint="-0.24994659260841701"/>
            </patternFill>
          </fill>
        </dxf>
        <dxf>
          <font>
            <name val="B Titr"/>
            <charset val="178"/>
          </font>
          <fill>
            <patternFill>
              <bgColor theme="7" tint="0.59996337778862885"/>
            </patternFill>
          </fill>
        </dxf>
        <dxf>
          <fill>
            <patternFill>
              <bgColor theme="0" tint="-0.24994659260841701"/>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9"/>
            <x14:slicerStyleElement type="selectedItemWithData" dxfId="8"/>
            <x14:slicerStyleElement type="selectedItemWithNoData" dxfId="7"/>
            <x14:slicerStyleElement type="hoveredUnselectedItemWithData" dxfId="6"/>
            <x14:slicerStyleElement type="hoveredSelectedItemWithData" dxfId="5"/>
          </x14:slicerStyleElements>
        </x14:slicerStyle>
        <x14:slicerStyle name="Slicer Style 3">
          <x14:slicerStyleElements>
            <x14:slicerStyleElement type="unselectedItemWithData" dxfId="4"/>
            <x14:slicerStyleElement type="selectedItemWithData" dxfId="3"/>
            <x14:slicerStyleElement type="hoveredUnselectedItemWithData" dxfId="2"/>
            <x14:slicerStyleElement type="hoveredSelectedItemWithData" dxfId="1"/>
          </x14:slicerStyleElements>
        </x14:slicerStyle>
        <x14:slicerStyle name="Slicer Style 4">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18" Type="http://schemas.openxmlformats.org/officeDocument/2006/relationships/customXml" Target="../customXml/item5.xml"/><Relationship Id="rId26" Type="http://schemas.openxmlformats.org/officeDocument/2006/relationships/customXml" Target="../customXml/item13.xml"/><Relationship Id="rId3" Type="http://schemas.openxmlformats.org/officeDocument/2006/relationships/worksheet" Target="worksheets/sheet3.xml"/><Relationship Id="rId21" Type="http://schemas.openxmlformats.org/officeDocument/2006/relationships/customXml" Target="../customXml/item8.xml"/><Relationship Id="rId7" Type="http://schemas.microsoft.com/office/2007/relationships/slicerCache" Target="slicerCaches/slicerCache1.xml"/><Relationship Id="rId12" Type="http://schemas.openxmlformats.org/officeDocument/2006/relationships/powerPivotData" Target="model/item.data"/><Relationship Id="rId17" Type="http://schemas.openxmlformats.org/officeDocument/2006/relationships/customXml" Target="../customXml/item4.xml"/><Relationship Id="rId25" Type="http://schemas.openxmlformats.org/officeDocument/2006/relationships/customXml" Target="../customXml/item12.xml"/><Relationship Id="rId2" Type="http://schemas.openxmlformats.org/officeDocument/2006/relationships/worksheet" Target="worksheets/sheet2.xml"/><Relationship Id="rId16" Type="http://schemas.openxmlformats.org/officeDocument/2006/relationships/customXml" Target="../customXml/item3.xml"/><Relationship Id="rId20" Type="http://schemas.openxmlformats.org/officeDocument/2006/relationships/customXml" Target="../customXml/item7.xml"/><Relationship Id="rId29"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haredStrings" Target="sharedStrings.xml"/><Relationship Id="rId24" Type="http://schemas.openxmlformats.org/officeDocument/2006/relationships/customXml" Target="../customXml/item11.xml"/><Relationship Id="rId5" Type="http://schemas.openxmlformats.org/officeDocument/2006/relationships/pivotCacheDefinition" Target="pivotCache/pivotCacheDefinition1.xml"/><Relationship Id="rId15" Type="http://schemas.openxmlformats.org/officeDocument/2006/relationships/customXml" Target="../customXml/item2.xml"/><Relationship Id="rId23" Type="http://schemas.openxmlformats.org/officeDocument/2006/relationships/customXml" Target="../customXml/item10.xml"/><Relationship Id="rId28" Type="http://schemas.openxmlformats.org/officeDocument/2006/relationships/customXml" Target="../customXml/item15.xml"/><Relationship Id="rId10" Type="http://schemas.openxmlformats.org/officeDocument/2006/relationships/styles" Target="styles.xml"/><Relationship Id="rId19"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 Id="rId22" Type="http://schemas.openxmlformats.org/officeDocument/2006/relationships/customXml" Target="../customXml/item9.xml"/><Relationship Id="rId27"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[Kasra-Pivot Table.xlsm]Kasra Pivot!PivotTable2</c:name>
    <c:fmtId val="3"/>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FFFF00"/>
            </a:solidFill>
            <a:round/>
          </a:ln>
          <a:effectLst/>
        </c:spPr>
        <c:marker>
          <c:symbol val="circle"/>
          <c:size val="5"/>
          <c:spPr>
            <a:solidFill>
              <a:srgbClr val="00B050"/>
            </a:solidFill>
            <a:ln w="9525">
              <a:solidFill>
                <a:srgbClr val="FFFF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a-IR"/>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rgbClr val="FFFF00"/>
            </a:solidFill>
            <a:round/>
          </a:ln>
          <a:effectLst/>
        </c:spPr>
        <c:marker>
          <c:symbol val="circle"/>
          <c:size val="5"/>
          <c:spPr>
            <a:solidFill>
              <a:srgbClr val="00B050"/>
            </a:solidFill>
            <a:ln w="9525">
              <a:solidFill>
                <a:srgbClr val="FFFF00"/>
              </a:solidFill>
            </a:ln>
            <a:effectLst/>
          </c:spPr>
        </c:marker>
        <c:dLbl>
          <c:idx val="0"/>
          <c:layout>
            <c:manualLayout>
              <c:x val="-2.9290184880736061E-2"/>
              <c:y val="8.17697706667693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a-IR"/>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rgbClr val="FFFF00"/>
            </a:solidFill>
            <a:round/>
          </a:ln>
          <a:effectLst/>
        </c:spPr>
        <c:marker>
          <c:symbol val="circle"/>
          <c:size val="5"/>
          <c:spPr>
            <a:solidFill>
              <a:srgbClr val="00B050"/>
            </a:solidFill>
            <a:ln w="9525">
              <a:solidFill>
                <a:srgbClr val="FFFF00"/>
              </a:solidFill>
            </a:ln>
            <a:effectLst/>
          </c:spPr>
        </c:marker>
        <c:dLbl>
          <c:idx val="0"/>
          <c:layout>
            <c:manualLayout>
              <c:x val="0.10980675492486516"/>
              <c:y val="0.1587049228637064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a-IR"/>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FFFF00"/>
            </a:solidFill>
            <a:round/>
          </a:ln>
          <a:effectLst/>
        </c:spPr>
        <c:marker>
          <c:symbol val="circle"/>
          <c:size val="5"/>
          <c:spPr>
            <a:solidFill>
              <a:srgbClr val="00B050"/>
            </a:solidFill>
            <a:ln w="9525">
              <a:solidFill>
                <a:srgbClr val="FFFF00"/>
              </a:solidFill>
            </a:ln>
            <a:effectLst/>
          </c:spPr>
        </c:marker>
        <c:dLbl>
          <c:idx val="0"/>
          <c:layout>
            <c:manualLayout>
              <c:x val="6.9531190343434524E-2"/>
              <c:y val="6.141226448054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a-IR"/>
            </a:p>
          </c:txPr>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rgbClr val="FFFF00"/>
            </a:solidFill>
            <a:round/>
          </a:ln>
          <a:effectLst/>
        </c:spPr>
        <c:marker>
          <c:symbol val="circle"/>
          <c:size val="5"/>
          <c:spPr>
            <a:solidFill>
              <a:srgbClr val="00B050"/>
            </a:solidFill>
            <a:ln w="9525">
              <a:solidFill>
                <a:srgbClr val="FFFF00"/>
              </a:solidFill>
            </a:ln>
            <a:effectLst/>
          </c:spPr>
        </c:marker>
        <c:dLbl>
          <c:idx val="0"/>
          <c:layout>
            <c:manualLayout>
              <c:x val="0.26348661603827817"/>
              <c:y val="-6.14122644805405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a-IR"/>
            </a:p>
          </c:txP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rgbClr val="FFFF00"/>
            </a:solidFill>
            <a:round/>
          </a:ln>
          <a:effectLst/>
        </c:spPr>
        <c:marker>
          <c:symbol val="circle"/>
          <c:size val="5"/>
          <c:spPr>
            <a:solidFill>
              <a:srgbClr val="00B050"/>
            </a:solidFill>
            <a:ln w="9525">
              <a:solidFill>
                <a:srgbClr val="FFFF00"/>
              </a:solidFill>
            </a:ln>
            <a:effectLst/>
          </c:spPr>
        </c:marker>
        <c:dLbl>
          <c:idx val="0"/>
          <c:layout>
            <c:manualLayout>
              <c:x val="6.2229529001182407E-2"/>
              <c:y val="-0.3274753431246201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a-IR"/>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rgbClr val="FFFF00"/>
            </a:solidFill>
            <a:round/>
          </a:ln>
          <a:effectLst/>
        </c:spPr>
        <c:marker>
          <c:symbol val="circle"/>
          <c:size val="5"/>
          <c:spPr>
            <a:solidFill>
              <a:srgbClr val="00B050"/>
            </a:solidFill>
            <a:ln w="9525">
              <a:solidFill>
                <a:srgbClr val="FFFF00"/>
              </a:solidFill>
            </a:ln>
            <a:effectLst/>
          </c:spPr>
        </c:marker>
        <c:dLbl>
          <c:idx val="0"/>
          <c:layout>
            <c:manualLayout>
              <c:x val="-0.27812476137373809"/>
              <c:y val="-8.7000708014099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a-I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60709104223951"/>
          <c:y val="5.6981409017791557E-2"/>
          <c:w val="0.64371496736812528"/>
          <c:h val="0.88649960999071076"/>
        </c:manualLayout>
      </c:layout>
      <c:radarChart>
        <c:radarStyle val="marker"/>
        <c:varyColors val="0"/>
        <c:ser>
          <c:idx val="0"/>
          <c:order val="0"/>
          <c:tx>
            <c:strRef>
              <c:f>'Kasra Pivot'!$B$3</c:f>
              <c:strCache>
                <c:ptCount val="1"/>
                <c:pt idx="0">
                  <c:v>Total</c:v>
                </c:pt>
              </c:strCache>
            </c:strRef>
          </c:tx>
          <c:spPr>
            <a:ln w="28575" cap="rnd">
              <a:solidFill>
                <a:srgbClr val="FFFF00"/>
              </a:solidFill>
              <a:round/>
            </a:ln>
            <a:effectLst/>
          </c:spPr>
          <c:marker>
            <c:symbol val="circle"/>
            <c:size val="5"/>
            <c:spPr>
              <a:solidFill>
                <a:srgbClr val="00B050"/>
              </a:solidFill>
              <a:ln w="9525">
                <a:solidFill>
                  <a:srgbClr val="FFFF00"/>
                </a:solidFill>
              </a:ln>
              <a:effectLst/>
            </c:spPr>
          </c:marker>
          <c:dPt>
            <c:idx val="0"/>
            <c:marker>
              <c:symbol val="circle"/>
              <c:size val="5"/>
              <c:spPr>
                <a:solidFill>
                  <a:srgbClr val="00B050"/>
                </a:solidFill>
                <a:ln w="9525">
                  <a:solidFill>
                    <a:srgbClr val="FFFF00"/>
                  </a:solidFill>
                </a:ln>
                <a:effectLst/>
              </c:spPr>
            </c:marker>
            <c:bubble3D val="0"/>
            <c:extLst>
              <c:ext xmlns:c16="http://schemas.microsoft.com/office/drawing/2014/chart" uri="{C3380CC4-5D6E-409C-BE32-E72D297353CC}">
                <c16:uniqueId val="{00000004-B825-4936-BCF1-A7283BDA4884}"/>
              </c:ext>
            </c:extLst>
          </c:dPt>
          <c:dPt>
            <c:idx val="1"/>
            <c:marker>
              <c:symbol val="circle"/>
              <c:size val="5"/>
              <c:spPr>
                <a:solidFill>
                  <a:srgbClr val="00B050"/>
                </a:solidFill>
                <a:ln w="9525">
                  <a:solidFill>
                    <a:srgbClr val="FFFF00"/>
                  </a:solidFill>
                </a:ln>
                <a:effectLst/>
              </c:spPr>
            </c:marker>
            <c:bubble3D val="0"/>
            <c:extLst>
              <c:ext xmlns:c16="http://schemas.microsoft.com/office/drawing/2014/chart" uri="{C3380CC4-5D6E-409C-BE32-E72D297353CC}">
                <c16:uniqueId val="{00000003-B825-4936-BCF1-A7283BDA4884}"/>
              </c:ext>
            </c:extLst>
          </c:dPt>
          <c:dPt>
            <c:idx val="2"/>
            <c:marker>
              <c:symbol val="circle"/>
              <c:size val="5"/>
              <c:spPr>
                <a:solidFill>
                  <a:srgbClr val="00B050"/>
                </a:solidFill>
                <a:ln w="9525">
                  <a:solidFill>
                    <a:srgbClr val="FFFF00"/>
                  </a:solidFill>
                </a:ln>
                <a:effectLst/>
              </c:spPr>
            </c:marker>
            <c:bubble3D val="0"/>
            <c:extLst>
              <c:ext xmlns:c16="http://schemas.microsoft.com/office/drawing/2014/chart" uri="{C3380CC4-5D6E-409C-BE32-E72D297353CC}">
                <c16:uniqueId val="{00000002-B825-4936-BCF1-A7283BDA4884}"/>
              </c:ext>
            </c:extLst>
          </c:dPt>
          <c:dPt>
            <c:idx val="3"/>
            <c:marker>
              <c:symbol val="circle"/>
              <c:size val="5"/>
              <c:spPr>
                <a:solidFill>
                  <a:srgbClr val="00B050"/>
                </a:solidFill>
                <a:ln w="9525">
                  <a:solidFill>
                    <a:srgbClr val="FFFF00"/>
                  </a:solidFill>
                </a:ln>
                <a:effectLst/>
              </c:spPr>
            </c:marker>
            <c:bubble3D val="0"/>
            <c:extLst>
              <c:ext xmlns:c16="http://schemas.microsoft.com/office/drawing/2014/chart" uri="{C3380CC4-5D6E-409C-BE32-E72D297353CC}">
                <c16:uniqueId val="{00000001-B825-4936-BCF1-A7283BDA4884}"/>
              </c:ext>
            </c:extLst>
          </c:dPt>
          <c:dPt>
            <c:idx val="4"/>
            <c:marker>
              <c:symbol val="circle"/>
              <c:size val="5"/>
              <c:spPr>
                <a:solidFill>
                  <a:srgbClr val="00B050"/>
                </a:solidFill>
                <a:ln w="9525">
                  <a:solidFill>
                    <a:srgbClr val="FFFF00"/>
                  </a:solidFill>
                </a:ln>
                <a:effectLst/>
              </c:spPr>
            </c:marker>
            <c:bubble3D val="0"/>
            <c:extLst>
              <c:ext xmlns:c16="http://schemas.microsoft.com/office/drawing/2014/chart" uri="{C3380CC4-5D6E-409C-BE32-E72D297353CC}">
                <c16:uniqueId val="{00000000-B825-4936-BCF1-A7283BDA4884}"/>
              </c:ext>
            </c:extLst>
          </c:dPt>
          <c:dPt>
            <c:idx val="5"/>
            <c:marker>
              <c:symbol val="circle"/>
              <c:size val="5"/>
              <c:spPr>
                <a:solidFill>
                  <a:srgbClr val="00B050"/>
                </a:solidFill>
                <a:ln w="9525">
                  <a:solidFill>
                    <a:srgbClr val="FFFF00"/>
                  </a:solidFill>
                </a:ln>
                <a:effectLst/>
              </c:spPr>
            </c:marker>
            <c:bubble3D val="0"/>
            <c:extLst>
              <c:ext xmlns:c16="http://schemas.microsoft.com/office/drawing/2014/chart" uri="{C3380CC4-5D6E-409C-BE32-E72D297353CC}">
                <c16:uniqueId val="{00000005-B825-4936-BCF1-A7283BDA4884}"/>
              </c:ext>
            </c:extLst>
          </c:dPt>
          <c:dLbls>
            <c:dLbl>
              <c:idx val="0"/>
              <c:layout>
                <c:manualLayout>
                  <c:x val="6.2229529001182407E-2"/>
                  <c:y val="-0.3274753431246201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825-4936-BCF1-A7283BDA4884}"/>
                </c:ext>
              </c:extLst>
            </c:dLbl>
            <c:dLbl>
              <c:idx val="1"/>
              <c:layout>
                <c:manualLayout>
                  <c:x val="0.26348661603827817"/>
                  <c:y val="-6.141226448054053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825-4936-BCF1-A7283BDA4884}"/>
                </c:ext>
              </c:extLst>
            </c:dLbl>
            <c:dLbl>
              <c:idx val="2"/>
              <c:layout>
                <c:manualLayout>
                  <c:x val="6.9531190343434524E-2"/>
                  <c:y val="6.1412264480540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825-4936-BCF1-A7283BDA4884}"/>
                </c:ext>
              </c:extLst>
            </c:dLbl>
            <c:dLbl>
              <c:idx val="3"/>
              <c:layout>
                <c:manualLayout>
                  <c:x val="0.10980675492486516"/>
                  <c:y val="0.1587049228637064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825-4936-BCF1-A7283BDA4884}"/>
                </c:ext>
              </c:extLst>
            </c:dLbl>
            <c:dLbl>
              <c:idx val="4"/>
              <c:layout>
                <c:manualLayout>
                  <c:x val="-2.9290184880736061E-2"/>
                  <c:y val="8.176977066676935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825-4936-BCF1-A7283BDA4884}"/>
                </c:ext>
              </c:extLst>
            </c:dLbl>
            <c:dLbl>
              <c:idx val="5"/>
              <c:layout>
                <c:manualLayout>
                  <c:x val="-0.27812476137373809"/>
                  <c:y val="-8.700070801409907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825-4936-BCF1-A7283BDA48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a-I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'Kasra Pivot'!$A$4:$A$10</c:f>
              <c:strCache>
                <c:ptCount val="6"/>
                <c:pt idx="0">
                  <c:v>دکترا</c:v>
                </c:pt>
                <c:pt idx="1">
                  <c:v>کارشناسی ارشد</c:v>
                </c:pt>
                <c:pt idx="2">
                  <c:v>کارشناسی</c:v>
                </c:pt>
                <c:pt idx="3">
                  <c:v>کاردانی</c:v>
                </c:pt>
                <c:pt idx="4">
                  <c:v>دیپلم</c:v>
                </c:pt>
                <c:pt idx="5">
                  <c:v>زیر دیپلم</c:v>
                </c:pt>
              </c:strCache>
            </c:strRef>
          </c:cat>
          <c:val>
            <c:numRef>
              <c:f>'Kasra Pivot'!$B$4:$B$10</c:f>
              <c:numCache>
                <c:formatCode>General</c:formatCode>
                <c:ptCount val="6"/>
                <c:pt idx="0">
                  <c:v>1</c:v>
                </c:pt>
                <c:pt idx="1">
                  <c:v>8</c:v>
                </c:pt>
                <c:pt idx="2">
                  <c:v>55</c:v>
                </c:pt>
                <c:pt idx="3">
                  <c:v>30</c:v>
                </c:pt>
                <c:pt idx="4">
                  <c:v>54</c:v>
                </c:pt>
                <c:pt idx="5">
                  <c:v>2</c:v>
                </c:pt>
              </c:numCache>
            </c:numRef>
          </c:val>
          <c:extLst>
            <c:ext xmlns:c16="http://schemas.microsoft.com/office/drawing/2014/chart" uri="{C3380CC4-5D6E-409C-BE32-E72D297353CC}">
              <c16:uniqueId val="{00000000-E9CD-4939-BF85-52D06DF76468}"/>
            </c:ext>
          </c:extLst>
        </c:ser>
        <c:dLbls>
          <c:showLegendKey val="0"/>
          <c:showVal val="1"/>
          <c:showCatName val="0"/>
          <c:showSerName val="0"/>
          <c:showPercent val="0"/>
          <c:showBubbleSize val="0"/>
        </c:dLbls>
        <c:axId val="23817200"/>
        <c:axId val="1570204288"/>
      </c:radarChart>
      <c:catAx>
        <c:axId val="2381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1">
                    <a:lumMod val="20000"/>
                    <a:lumOff val="80000"/>
                  </a:schemeClr>
                </a:solidFill>
                <a:latin typeface="Vazirmatn FD" pitchFamily="2" charset="-78"/>
                <a:ea typeface="+mn-ea"/>
                <a:cs typeface="Vazirmatn FD" pitchFamily="2" charset="-78"/>
              </a:defRPr>
            </a:pPr>
            <a:endParaRPr lang="fa-IR"/>
          </a:p>
        </c:txPr>
        <c:crossAx val="1570204288"/>
        <c:crosses val="autoZero"/>
        <c:auto val="1"/>
        <c:lblAlgn val="ctr"/>
        <c:lblOffset val="100"/>
        <c:noMultiLvlLbl val="0"/>
      </c:catAx>
      <c:valAx>
        <c:axId val="1570204288"/>
        <c:scaling>
          <c:orientation val="minMax"/>
        </c:scaling>
        <c:delete val="0"/>
        <c:axPos val="l"/>
        <c:majorGridlines>
          <c:spPr>
            <a:ln w="9525" cap="flat" cmpd="sng" algn="ctr">
              <a:solidFill>
                <a:schemeClr val="bg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a-IR"/>
          </a:p>
        </c:txPr>
        <c:crossAx val="23817200"/>
        <c:crosses val="autoZero"/>
        <c:crossBetween val="between"/>
      </c:valAx>
      <c:spPr>
        <a:solidFill>
          <a:srgbClr val="002060"/>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noFill/>
      <a:round/>
    </a:ln>
    <a:effectLst/>
  </c:spPr>
  <c:txPr>
    <a:bodyPr/>
    <a:lstStyle/>
    <a:p>
      <a:pPr>
        <a:defRPr/>
      </a:pPr>
      <a:endParaRPr lang="fa-I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[Kasra-Pivot Table.xlsm]Kasra Pivot!PivotTable5</c:name>
    <c:fmtId val="3"/>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33CC"/>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33CC"/>
                  </a:solidFill>
                  <a:latin typeface="+mn-lt"/>
                  <a:ea typeface="+mn-ea"/>
                  <a:cs typeface="+mn-cs"/>
                </a:defRPr>
              </a:pPr>
              <a:endParaRPr lang="fa-IR"/>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92D050"/>
                  </a:solidFill>
                  <a:latin typeface="+mn-lt"/>
                  <a:ea typeface="+mn-ea"/>
                  <a:cs typeface="+mn-cs"/>
                </a:defRPr>
              </a:pPr>
              <a:endParaRPr lang="fa-IR"/>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92D050"/>
          </a:solidFill>
          <a:ln>
            <a:noFill/>
          </a:ln>
          <a:effectLst/>
          <a:sp3d/>
        </c:spPr>
        <c:dLbl>
          <c:idx val="0"/>
          <c:layout>
            <c:manualLayout>
              <c:x val="1.4692378328741897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92D050"/>
                  </a:solidFill>
                  <a:latin typeface="+mn-lt"/>
                  <a:ea typeface="+mn-ea"/>
                  <a:cs typeface="+mn-cs"/>
                </a:defRPr>
              </a:pPr>
              <a:endParaRPr lang="fa-IR"/>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92D050"/>
          </a:solidFill>
          <a:ln>
            <a:noFill/>
          </a:ln>
          <a:effectLst/>
          <a:sp3d/>
        </c:spPr>
        <c:dLbl>
          <c:idx val="0"/>
          <c:layout>
            <c:manualLayout>
              <c:x val="2.2038567493112948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92D050"/>
                  </a:solidFill>
                  <a:latin typeface="+mn-lt"/>
                  <a:ea typeface="+mn-ea"/>
                  <a:cs typeface="+mn-cs"/>
                </a:defRPr>
              </a:pPr>
              <a:endParaRPr lang="fa-IR"/>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33CC"/>
          </a:solidFill>
          <a:ln>
            <a:noFill/>
          </a:ln>
          <a:effectLst/>
          <a:sp3d/>
        </c:spPr>
        <c:dLbl>
          <c:idx val="0"/>
          <c:layout>
            <c:manualLayout>
              <c:x val="-1.8365472910927525E-2"/>
              <c:y val="0"/>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33CC"/>
                  </a:solidFill>
                  <a:latin typeface="+mn-lt"/>
                  <a:ea typeface="+mn-ea"/>
                  <a:cs typeface="+mn-cs"/>
                </a:defRPr>
              </a:pPr>
              <a:endParaRPr lang="fa-IR"/>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33CC"/>
          </a:solidFill>
          <a:ln>
            <a:noFill/>
          </a:ln>
          <a:effectLst/>
          <a:sp3d/>
        </c:spPr>
        <c:dLbl>
          <c:idx val="0"/>
          <c:layout>
            <c:manualLayout>
              <c:x val="-1.4692378328742033E-2"/>
              <c:y val="0"/>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33CC"/>
                  </a:solidFill>
                  <a:latin typeface="+mn-lt"/>
                  <a:ea typeface="+mn-ea"/>
                  <a:cs typeface="+mn-cs"/>
                </a:defRPr>
              </a:pPr>
              <a:endParaRPr lang="fa-IR"/>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manualLayout>
          <c:layoutTarget val="inner"/>
          <c:xMode val="edge"/>
          <c:yMode val="edge"/>
          <c:x val="3.1760381875077764E-2"/>
          <c:y val="5.0925925925925923E-2"/>
          <c:w val="0.93954212284510441"/>
          <c:h val="0.70909266550014582"/>
        </c:manualLayout>
      </c:layout>
      <c:bar3DChart>
        <c:barDir val="col"/>
        <c:grouping val="clustered"/>
        <c:varyColors val="0"/>
        <c:ser>
          <c:idx val="0"/>
          <c:order val="0"/>
          <c:tx>
            <c:strRef>
              <c:f>'Kasra Pivot'!$E$3:$E$4</c:f>
              <c:strCache>
                <c:ptCount val="1"/>
                <c:pt idx="0">
                  <c:v>زن</c:v>
                </c:pt>
              </c:strCache>
            </c:strRef>
          </c:tx>
          <c:spPr>
            <a:solidFill>
              <a:srgbClr val="FF33CC"/>
            </a:solidFill>
            <a:ln>
              <a:noFill/>
            </a:ln>
            <a:effectLst/>
            <a:sp3d/>
          </c:spPr>
          <c:invertIfNegative val="0"/>
          <c:dPt>
            <c:idx val="2"/>
            <c:invertIfNegative val="0"/>
            <c:bubble3D val="0"/>
            <c:spPr>
              <a:solidFill>
                <a:srgbClr val="FF33CC"/>
              </a:solidFill>
              <a:ln>
                <a:noFill/>
              </a:ln>
              <a:effectLst/>
              <a:sp3d/>
            </c:spPr>
            <c:extLst>
              <c:ext xmlns:c16="http://schemas.microsoft.com/office/drawing/2014/chart" uri="{C3380CC4-5D6E-409C-BE32-E72D297353CC}">
                <c16:uniqueId val="{00000004-5B0F-459F-8E07-441CF3158853}"/>
              </c:ext>
            </c:extLst>
          </c:dPt>
          <c:dPt>
            <c:idx val="4"/>
            <c:invertIfNegative val="0"/>
            <c:bubble3D val="0"/>
            <c:spPr>
              <a:solidFill>
                <a:srgbClr val="FF33CC"/>
              </a:solidFill>
              <a:ln>
                <a:noFill/>
              </a:ln>
              <a:effectLst/>
              <a:sp3d/>
            </c:spPr>
            <c:extLst>
              <c:ext xmlns:c16="http://schemas.microsoft.com/office/drawing/2014/chart" uri="{C3380CC4-5D6E-409C-BE32-E72D297353CC}">
                <c16:uniqueId val="{00000005-5B0F-459F-8E07-441CF3158853}"/>
              </c:ext>
            </c:extLst>
          </c:dPt>
          <c:dLbls>
            <c:dLbl>
              <c:idx val="2"/>
              <c:layout>
                <c:manualLayout>
                  <c:x val="-1.8365472910927525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B0F-459F-8E07-441CF3158853}"/>
                </c:ext>
              </c:extLst>
            </c:dLbl>
            <c:dLbl>
              <c:idx val="4"/>
              <c:layout>
                <c:manualLayout>
                  <c:x val="-1.4692378328742033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B0F-459F-8E07-441CF3158853}"/>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33CC"/>
                    </a:solidFill>
                    <a:latin typeface="+mn-lt"/>
                    <a:ea typeface="+mn-ea"/>
                    <a:cs typeface="+mn-cs"/>
                  </a:defRPr>
                </a:pPr>
                <a:endParaRPr lang="fa-I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'Kasra Pivot'!$D$5:$D$11</c:f>
              <c:strCache>
                <c:ptCount val="6"/>
                <c:pt idx="0">
                  <c:v>دکترا</c:v>
                </c:pt>
                <c:pt idx="1">
                  <c:v>کارشناسی ارشد</c:v>
                </c:pt>
                <c:pt idx="2">
                  <c:v>کارشناسی</c:v>
                </c:pt>
                <c:pt idx="3">
                  <c:v>کاردانی</c:v>
                </c:pt>
                <c:pt idx="4">
                  <c:v>دیپلم</c:v>
                </c:pt>
                <c:pt idx="5">
                  <c:v>زیر دیپلم</c:v>
                </c:pt>
              </c:strCache>
            </c:strRef>
          </c:cat>
          <c:val>
            <c:numRef>
              <c:f>'Kasra Pivot'!$E$5:$E$11</c:f>
              <c:numCache>
                <c:formatCode>General</c:formatCode>
                <c:ptCount val="6"/>
                <c:pt idx="0">
                  <c:v>1</c:v>
                </c:pt>
                <c:pt idx="1">
                  <c:v>3</c:v>
                </c:pt>
                <c:pt idx="2">
                  <c:v>25</c:v>
                </c:pt>
                <c:pt idx="3">
                  <c:v>17</c:v>
                </c:pt>
                <c:pt idx="4">
                  <c:v>21</c:v>
                </c:pt>
                <c:pt idx="5">
                  <c:v>1</c:v>
                </c:pt>
              </c:numCache>
            </c:numRef>
          </c:val>
          <c:extLst>
            <c:ext xmlns:c16="http://schemas.microsoft.com/office/drawing/2014/chart" uri="{C3380CC4-5D6E-409C-BE32-E72D297353CC}">
              <c16:uniqueId val="{00000000-5B0F-459F-8E07-441CF3158853}"/>
            </c:ext>
          </c:extLst>
        </c:ser>
        <c:ser>
          <c:idx val="1"/>
          <c:order val="1"/>
          <c:tx>
            <c:strRef>
              <c:f>'Kasra Pivot'!$F$3:$F$4</c:f>
              <c:strCache>
                <c:ptCount val="1"/>
                <c:pt idx="0">
                  <c:v>مرد</c:v>
                </c:pt>
              </c:strCache>
            </c:strRef>
          </c:tx>
          <c:spPr>
            <a:solidFill>
              <a:srgbClr val="92D050"/>
            </a:solidFill>
            <a:ln>
              <a:noFill/>
            </a:ln>
            <a:effectLst/>
            <a:sp3d/>
          </c:spPr>
          <c:invertIfNegative val="0"/>
          <c:dPt>
            <c:idx val="1"/>
            <c:invertIfNegative val="0"/>
            <c:bubble3D val="0"/>
            <c:spPr>
              <a:solidFill>
                <a:srgbClr val="92D050"/>
              </a:solidFill>
              <a:ln>
                <a:noFill/>
              </a:ln>
              <a:effectLst/>
              <a:sp3d/>
            </c:spPr>
            <c:extLst>
              <c:ext xmlns:c16="http://schemas.microsoft.com/office/drawing/2014/chart" uri="{C3380CC4-5D6E-409C-BE32-E72D297353CC}">
                <c16:uniqueId val="{00000003-5B0F-459F-8E07-441CF3158853}"/>
              </c:ext>
            </c:extLst>
          </c:dPt>
          <c:dPt>
            <c:idx val="3"/>
            <c:invertIfNegative val="0"/>
            <c:bubble3D val="0"/>
            <c:spPr>
              <a:solidFill>
                <a:srgbClr val="92D050"/>
              </a:solidFill>
              <a:ln>
                <a:noFill/>
              </a:ln>
              <a:effectLst/>
              <a:sp3d/>
            </c:spPr>
            <c:extLst>
              <c:ext xmlns:c16="http://schemas.microsoft.com/office/drawing/2014/chart" uri="{C3380CC4-5D6E-409C-BE32-E72D297353CC}">
                <c16:uniqueId val="{00000002-5B0F-459F-8E07-441CF3158853}"/>
              </c:ext>
            </c:extLst>
          </c:dPt>
          <c:dLbls>
            <c:dLbl>
              <c:idx val="1"/>
              <c:layout>
                <c:manualLayout>
                  <c:x val="2.2038567493112948E-2"/>
                  <c:y val="-8.4875562720133283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B0F-459F-8E07-441CF3158853}"/>
                </c:ext>
              </c:extLst>
            </c:dLbl>
            <c:dLbl>
              <c:idx val="3"/>
              <c:layout>
                <c:manualLayout>
                  <c:x val="1.4692378328741897E-2"/>
                  <c:y val="-8.4875562720133283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B0F-459F-8E07-441CF315885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92D050"/>
                    </a:solidFill>
                    <a:latin typeface="+mn-lt"/>
                    <a:ea typeface="+mn-ea"/>
                    <a:cs typeface="+mn-cs"/>
                  </a:defRPr>
                </a:pPr>
                <a:endParaRPr lang="fa-I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'Kasra Pivot'!$D$5:$D$11</c:f>
              <c:strCache>
                <c:ptCount val="6"/>
                <c:pt idx="0">
                  <c:v>دکترا</c:v>
                </c:pt>
                <c:pt idx="1">
                  <c:v>کارشناسی ارشد</c:v>
                </c:pt>
                <c:pt idx="2">
                  <c:v>کارشناسی</c:v>
                </c:pt>
                <c:pt idx="3">
                  <c:v>کاردانی</c:v>
                </c:pt>
                <c:pt idx="4">
                  <c:v>دیپلم</c:v>
                </c:pt>
                <c:pt idx="5">
                  <c:v>زیر دیپلم</c:v>
                </c:pt>
              </c:strCache>
            </c:strRef>
          </c:cat>
          <c:val>
            <c:numRef>
              <c:f>'Kasra Pivot'!$F$5:$F$11</c:f>
              <c:numCache>
                <c:formatCode>General</c:formatCode>
                <c:ptCount val="6"/>
                <c:pt idx="1">
                  <c:v>5</c:v>
                </c:pt>
                <c:pt idx="2">
                  <c:v>30</c:v>
                </c:pt>
                <c:pt idx="3">
                  <c:v>13</c:v>
                </c:pt>
                <c:pt idx="4">
                  <c:v>33</c:v>
                </c:pt>
                <c:pt idx="5">
                  <c:v>1</c:v>
                </c:pt>
              </c:numCache>
            </c:numRef>
          </c:val>
          <c:extLst>
            <c:ext xmlns:c16="http://schemas.microsoft.com/office/drawing/2014/chart" uri="{C3380CC4-5D6E-409C-BE32-E72D297353CC}">
              <c16:uniqueId val="{00000001-5B0F-459F-8E07-441CF3158853}"/>
            </c:ext>
          </c:extLst>
        </c:ser>
        <c:dLbls>
          <c:showLegendKey val="0"/>
          <c:showVal val="0"/>
          <c:showCatName val="0"/>
          <c:showSerName val="0"/>
          <c:showPercent val="0"/>
          <c:showBubbleSize val="0"/>
        </c:dLbls>
        <c:gapWidth val="150"/>
        <c:shape val="box"/>
        <c:axId val="138945968"/>
        <c:axId val="138559792"/>
        <c:axId val="0"/>
      </c:bar3DChart>
      <c:catAx>
        <c:axId val="138945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accent5">
                    <a:lumMod val="20000"/>
                    <a:lumOff val="80000"/>
                  </a:schemeClr>
                </a:solidFill>
                <a:latin typeface="Microsoft Uighur" panose="02000000000000000000" pitchFamily="2" charset="-78"/>
                <a:ea typeface="+mn-ea"/>
                <a:cs typeface="Microsoft Uighur" panose="02000000000000000000" pitchFamily="2" charset="-78"/>
              </a:defRPr>
            </a:pPr>
            <a:endParaRPr lang="fa-IR"/>
          </a:p>
        </c:txPr>
        <c:crossAx val="138559792"/>
        <c:crosses val="autoZero"/>
        <c:auto val="1"/>
        <c:lblAlgn val="ctr"/>
        <c:lblOffset val="100"/>
        <c:noMultiLvlLbl val="0"/>
      </c:catAx>
      <c:valAx>
        <c:axId val="138559792"/>
        <c:scaling>
          <c:orientation val="minMax"/>
        </c:scaling>
        <c:delete val="1"/>
        <c:axPos val="l"/>
        <c:numFmt formatCode="General" sourceLinked="1"/>
        <c:majorTickMark val="none"/>
        <c:minorTickMark val="none"/>
        <c:tickLblPos val="nextTo"/>
        <c:crossAx val="138945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noFill/>
      <a:round/>
    </a:ln>
    <a:effectLst/>
  </c:spPr>
  <c:txPr>
    <a:bodyPr/>
    <a:lstStyle/>
    <a:p>
      <a:pPr>
        <a:defRPr/>
      </a:pPr>
      <a:endParaRPr lang="fa-IR"/>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[Kasra-Pivot Table.xlsm]Kasra Pivot!PivotTable6</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rgbClr val="92D05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92D050"/>
                  </a:solidFill>
                  <a:latin typeface="+mn-lt"/>
                  <a:ea typeface="+mn-ea"/>
                  <a:cs typeface="+mn-cs"/>
                </a:defRPr>
              </a:pPr>
              <a:endParaRPr lang="fa-IR"/>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33CC"/>
          </a:solidFill>
          <a:ln w="19050">
            <a:solidFill>
              <a:schemeClr val="lt1"/>
            </a:solidFill>
          </a:ln>
          <a:effectLst/>
        </c:spPr>
        <c:dLbl>
          <c:idx val="0"/>
          <c:layout>
            <c:manualLayout>
              <c:x val="0.13197478969765289"/>
              <c:y val="-0.32384560278392471"/>
            </c:manualLayout>
          </c:layout>
          <c:tx>
            <c:rich>
              <a:bodyPr rot="0" spcFirstLastPara="1" vertOverflow="ellipsis" vert="horz" wrap="square" lIns="38100" tIns="19050" rIns="38100" bIns="19050" anchor="ctr" anchorCtr="1">
                <a:spAutoFit/>
              </a:bodyPr>
              <a:lstStyle/>
              <a:p>
                <a:pPr>
                  <a:defRPr sz="1800" b="1" i="0" u="none" strike="noStrike" kern="1200" baseline="0">
                    <a:solidFill>
                      <a:srgbClr val="92D050"/>
                    </a:solidFill>
                    <a:latin typeface="+mn-lt"/>
                    <a:ea typeface="+mn-ea"/>
                    <a:cs typeface="+mn-cs"/>
                  </a:defRPr>
                </a:pPr>
                <a:fld id="{6D86E11D-1796-40BF-949F-02B63920282B}" type="VALUE">
                  <a:rPr lang="en-US">
                    <a:solidFill>
                      <a:srgbClr val="FF33CC"/>
                    </a:solidFill>
                  </a:rPr>
                  <a:pPr>
                    <a:defRPr sz="1800" b="1">
                      <a:solidFill>
                        <a:srgbClr val="92D050"/>
                      </a:solidFill>
                    </a:defRPr>
                  </a:pPr>
                  <a:t>[VALUE]</a:t>
                </a:fld>
                <a:endParaRPr lang="fa-IR"/>
              </a:p>
            </c:rich>
          </c:tx>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92D050"/>
                  </a:solidFill>
                  <a:latin typeface="+mn-lt"/>
                  <a:ea typeface="+mn-ea"/>
                  <a:cs typeface="+mn-cs"/>
                </a:defRPr>
              </a:pPr>
              <a:endParaRPr lang="fa-IR"/>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rgbClr val="92D050"/>
          </a:solidFill>
          <a:ln w="19050">
            <a:solidFill>
              <a:schemeClr val="lt1"/>
            </a:solidFill>
          </a:ln>
          <a:effectLst/>
        </c:spPr>
        <c:dLbl>
          <c:idx val="0"/>
          <c:layout>
            <c:manualLayout>
              <c:x val="-0.1552644584678271"/>
              <c:y val="-0.42504735365390117"/>
            </c:manualLayout>
          </c:layout>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92D050"/>
                  </a:solidFill>
                  <a:latin typeface="+mn-lt"/>
                  <a:ea typeface="+mn-ea"/>
                  <a:cs typeface="+mn-cs"/>
                </a:defRPr>
              </a:pPr>
              <a:endParaRPr lang="fa-I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399453205096911"/>
          <c:y val="7.2697475658305741E-2"/>
          <c:w val="0.64563906654298697"/>
          <c:h val="0.84950626066931445"/>
        </c:manualLayout>
      </c:layout>
      <c:doughnutChart>
        <c:varyColors val="1"/>
        <c:ser>
          <c:idx val="0"/>
          <c:order val="0"/>
          <c:tx>
            <c:strRef>
              <c:f>'Kasra Pivot'!$J$3</c:f>
              <c:strCache>
                <c:ptCount val="1"/>
                <c:pt idx="0">
                  <c:v>Total</c:v>
                </c:pt>
              </c:strCache>
            </c:strRef>
          </c:tx>
          <c:spPr>
            <a:solidFill>
              <a:srgbClr val="92D050"/>
            </a:solidFill>
          </c:spPr>
          <c:dPt>
            <c:idx val="0"/>
            <c:bubble3D val="0"/>
            <c:explosion val="5"/>
            <c:spPr>
              <a:solidFill>
                <a:srgbClr val="FF33CC"/>
              </a:solidFill>
              <a:ln w="19050">
                <a:solidFill>
                  <a:schemeClr val="lt1"/>
                </a:solidFill>
              </a:ln>
              <a:effectLst/>
            </c:spPr>
            <c:extLst>
              <c:ext xmlns:c16="http://schemas.microsoft.com/office/drawing/2014/chart" uri="{C3380CC4-5D6E-409C-BE32-E72D297353CC}">
                <c16:uniqueId val="{00000001-0548-46D7-8EB7-F05D4905037F}"/>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0548-46D7-8EB7-F05D4905037F}"/>
              </c:ext>
            </c:extLst>
          </c:dPt>
          <c:dLbls>
            <c:dLbl>
              <c:idx val="0"/>
              <c:layout>
                <c:manualLayout>
                  <c:x val="0.13197478969765289"/>
                  <c:y val="-0.32384560278392471"/>
                </c:manualLayout>
              </c:layout>
              <c:tx>
                <c:rich>
                  <a:bodyPr/>
                  <a:lstStyle/>
                  <a:p>
                    <a:fld id="{6D86E11D-1796-40BF-949F-02B63920282B}" type="VALUE">
                      <a:rPr lang="en-US">
                        <a:solidFill>
                          <a:srgbClr val="FF33CC"/>
                        </a:solidFill>
                      </a:rPr>
                      <a:pPr/>
                      <a:t>[VALUE]</a:t>
                    </a:fld>
                    <a:endParaRPr lang="fa-IR"/>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0548-46D7-8EB7-F05D4905037F}"/>
                </c:ext>
              </c:extLst>
            </c:dLbl>
            <c:dLbl>
              <c:idx val="1"/>
              <c:layout>
                <c:manualLayout>
                  <c:x val="-0.1552644584678271"/>
                  <c:y val="-0.425047353653901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548-46D7-8EB7-F05D4905037F}"/>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92D050"/>
                    </a:solidFill>
                    <a:latin typeface="+mn-lt"/>
                    <a:ea typeface="+mn-ea"/>
                    <a:cs typeface="+mn-cs"/>
                  </a:defRPr>
                </a:pPr>
                <a:endParaRPr lang="fa-I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'Kasra Pivot'!$I$4:$I$6</c:f>
              <c:strCache>
                <c:ptCount val="2"/>
                <c:pt idx="0">
                  <c:v>زن</c:v>
                </c:pt>
                <c:pt idx="1">
                  <c:v>مرد</c:v>
                </c:pt>
              </c:strCache>
            </c:strRef>
          </c:cat>
          <c:val>
            <c:numRef>
              <c:f>'Kasra Pivot'!$J$4:$J$6</c:f>
              <c:numCache>
                <c:formatCode>General</c:formatCode>
                <c:ptCount val="2"/>
                <c:pt idx="0">
                  <c:v>68</c:v>
                </c:pt>
                <c:pt idx="1">
                  <c:v>82</c:v>
                </c:pt>
              </c:numCache>
            </c:numRef>
          </c:val>
          <c:extLst>
            <c:ext xmlns:c16="http://schemas.microsoft.com/office/drawing/2014/chart" uri="{C3380CC4-5D6E-409C-BE32-E72D297353CC}">
              <c16:uniqueId val="{00000004-0548-46D7-8EB7-F05D4905037F}"/>
            </c:ext>
          </c:extLst>
        </c:ser>
        <c:dLbls>
          <c:showLegendKey val="0"/>
          <c:showVal val="0"/>
          <c:showCatName val="0"/>
          <c:showSerName val="0"/>
          <c:showPercent val="0"/>
          <c:showBubbleSize val="0"/>
          <c:showLeaderLines val="1"/>
        </c:dLbls>
        <c:firstSliceAng val="0"/>
        <c:holeSize val="57"/>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noFill/>
      <a:round/>
    </a:ln>
    <a:effectLst/>
  </c:spPr>
  <c:txPr>
    <a:bodyPr/>
    <a:lstStyle/>
    <a:p>
      <a:pPr>
        <a:defRPr/>
      </a:pPr>
      <a:endParaRPr lang="fa-IR"/>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27903155170734E-2"/>
          <c:y val="0.12657054212120572"/>
          <c:w val="0.94480146122085618"/>
          <c:h val="0.81389375623821669"/>
        </c:manualLayout>
      </c:layout>
      <c:ofPieChart>
        <c:ofPieType val="pie"/>
        <c:varyColors val="1"/>
        <c:ser>
          <c:idx val="0"/>
          <c:order val="0"/>
          <c:spPr>
            <a:ln>
              <a:noFill/>
            </a:ln>
          </c:spPr>
          <c:dPt>
            <c:idx val="0"/>
            <c:bubble3D val="0"/>
            <c:spPr>
              <a:solidFill>
                <a:srgbClr val="00B0F0"/>
              </a:solidFill>
              <a:ln w="19050">
                <a:noFill/>
              </a:ln>
              <a:effectLst/>
            </c:spPr>
            <c:extLst>
              <c:ext xmlns:c16="http://schemas.microsoft.com/office/drawing/2014/chart" uri="{C3380CC4-5D6E-409C-BE32-E72D297353CC}">
                <c16:uniqueId val="{00000001-EED7-425E-AFF0-5A01E48ACEEF}"/>
              </c:ext>
            </c:extLst>
          </c:dPt>
          <c:dPt>
            <c:idx val="1"/>
            <c:bubble3D val="0"/>
            <c:spPr>
              <a:solidFill>
                <a:srgbClr val="FF33CC"/>
              </a:solidFill>
              <a:ln w="19050">
                <a:noFill/>
              </a:ln>
              <a:effectLst/>
            </c:spPr>
            <c:extLst>
              <c:ext xmlns:c16="http://schemas.microsoft.com/office/drawing/2014/chart" uri="{C3380CC4-5D6E-409C-BE32-E72D297353CC}">
                <c16:uniqueId val="{00000003-EED7-425E-AFF0-5A01E48ACEEF}"/>
              </c:ext>
            </c:extLst>
          </c:dPt>
          <c:dPt>
            <c:idx val="2"/>
            <c:bubble3D val="0"/>
            <c:explosion val="7"/>
            <c:spPr>
              <a:solidFill>
                <a:srgbClr val="92D050"/>
              </a:solidFill>
              <a:ln w="19050">
                <a:noFill/>
              </a:ln>
              <a:effectLst/>
            </c:spPr>
            <c:extLst>
              <c:ext xmlns:c16="http://schemas.microsoft.com/office/drawing/2014/chart" uri="{C3380CC4-5D6E-409C-BE32-E72D297353CC}">
                <c16:uniqueId val="{00000005-EED7-425E-AFF0-5A01E48ACEEF}"/>
              </c:ext>
            </c:extLst>
          </c:dPt>
          <c:dPt>
            <c:idx val="3"/>
            <c:bubble3D val="0"/>
            <c:explosion val="19"/>
            <c:spPr>
              <a:solidFill>
                <a:srgbClr val="F94C66"/>
              </a:solidFill>
              <a:ln w="19050">
                <a:noFill/>
              </a:ln>
              <a:effectLst/>
            </c:spPr>
            <c:extLst>
              <c:ext xmlns:c16="http://schemas.microsoft.com/office/drawing/2014/chart" uri="{C3380CC4-5D6E-409C-BE32-E72D297353CC}">
                <c16:uniqueId val="{00000007-EED7-425E-AFF0-5A01E48ACEEF}"/>
              </c:ext>
            </c:extLst>
          </c:dPt>
          <c:dLbls>
            <c:dLbl>
              <c:idx val="0"/>
              <c:layout>
                <c:manualLayout>
                  <c:x val="0.11676396486293412"/>
                  <c:y val="-3.856413728239007E-4"/>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accent5">
                          <a:lumMod val="20000"/>
                          <a:lumOff val="80000"/>
                        </a:schemeClr>
                      </a:solidFill>
                      <a:latin typeface="+mn-lt"/>
                      <a:ea typeface="+mn-ea"/>
                      <a:cs typeface="+mn-cs"/>
                    </a:defRPr>
                  </a:pPr>
                  <a:endParaRPr lang="fa-IR"/>
                </a:p>
              </c:txPr>
              <c:showLegendKey val="0"/>
              <c:showVal val="1"/>
              <c:showCatName val="1"/>
              <c:showSerName val="0"/>
              <c:showPercent val="0"/>
              <c:showBubbleSize val="0"/>
              <c:separator> </c:separator>
              <c:extLst>
                <c:ext xmlns:c15="http://schemas.microsoft.com/office/drawing/2012/chart" uri="{CE6537A1-D6FC-4f65-9D91-7224C49458BB}">
                  <c15:layout>
                    <c:manualLayout>
                      <c:w val="0.23934651407465476"/>
                      <c:h val="0.20363646081434542"/>
                    </c:manualLayout>
                  </c15:layout>
                </c:ext>
                <c:ext xmlns:c16="http://schemas.microsoft.com/office/drawing/2014/chart" uri="{C3380CC4-5D6E-409C-BE32-E72D297353CC}">
                  <c16:uniqueId val="{00000001-EED7-425E-AFF0-5A01E48ACEEF}"/>
                </c:ext>
              </c:extLst>
            </c:dLbl>
            <c:dLbl>
              <c:idx val="1"/>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EED7-425E-AFF0-5A01E48ACEEF}"/>
                </c:ext>
              </c:extLst>
            </c:dLbl>
            <c:dLbl>
              <c:idx val="2"/>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EED7-425E-AFF0-5A01E48ACEEF}"/>
                </c:ext>
              </c:extLst>
            </c:dLbl>
            <c:dLbl>
              <c:idx val="3"/>
              <c:tx>
                <c:rich>
                  <a:bodyPr rot="0" spcFirstLastPara="1" vertOverflow="ellipsis" vert="horz" wrap="square" lIns="38100" tIns="19050" rIns="38100" bIns="19050" anchor="ctr" anchorCtr="1">
                    <a:noAutofit/>
                  </a:bodyPr>
                  <a:lstStyle/>
                  <a:p>
                    <a:pPr>
                      <a:defRPr sz="1100" b="1" i="0" u="none" strike="noStrike" kern="1200" baseline="0">
                        <a:solidFill>
                          <a:schemeClr val="accent5">
                            <a:lumMod val="20000"/>
                            <a:lumOff val="80000"/>
                          </a:schemeClr>
                        </a:solidFill>
                        <a:latin typeface="+mn-lt"/>
                        <a:ea typeface="+mn-ea"/>
                        <a:cs typeface="+mn-cs"/>
                      </a:defRPr>
                    </a:pPr>
                    <a:r>
                      <a:rPr lang="fa-IR" sz="1100" baseline="0"/>
                      <a:t>پاره وقت </a:t>
                    </a:r>
                    <a:fld id="{6CB80993-46B4-4E27-BE02-2A86CF40B5B6}" type="VALUE">
                      <a:rPr lang="en-US" sz="1100" baseline="0"/>
                      <a:pPr>
                        <a:defRPr sz="1100" b="1">
                          <a:solidFill>
                            <a:schemeClr val="accent5">
                              <a:lumMod val="20000"/>
                              <a:lumOff val="80000"/>
                            </a:schemeClr>
                          </a:solidFill>
                        </a:defRPr>
                      </a:pPr>
                      <a:t>[VALUE]</a:t>
                    </a:fld>
                    <a:endParaRPr lang="fa-IR" sz="1100" baseline="0"/>
                  </a:p>
                </c:rich>
              </c:tx>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accent5">
                          <a:lumMod val="20000"/>
                          <a:lumOff val="80000"/>
                        </a:schemeClr>
                      </a:solidFill>
                      <a:latin typeface="+mn-lt"/>
                      <a:ea typeface="+mn-ea"/>
                      <a:cs typeface="+mn-cs"/>
                    </a:defRPr>
                  </a:pPr>
                  <a:endParaRPr lang="fa-IR"/>
                </a:p>
              </c:txPr>
              <c:dLblPos val="inEnd"/>
              <c:showLegendKey val="0"/>
              <c:showVal val="1"/>
              <c:showCatName val="1"/>
              <c:showSerName val="0"/>
              <c:showPercent val="0"/>
              <c:showBubbleSize val="0"/>
              <c:separator> </c:separator>
              <c:extLst>
                <c:ext xmlns:c15="http://schemas.microsoft.com/office/drawing/2012/chart" uri="{CE6537A1-D6FC-4f65-9D91-7224C49458BB}">
                  <c15:layout>
                    <c:manualLayout>
                      <c:w val="0.20803446406412759"/>
                      <c:h val="8.5697010592703696E-2"/>
                    </c:manualLayout>
                  </c15:layout>
                  <c15:dlblFieldTable/>
                  <c15:showDataLabelsRange val="0"/>
                </c:ext>
                <c:ext xmlns:c16="http://schemas.microsoft.com/office/drawing/2014/chart" uri="{C3380CC4-5D6E-409C-BE32-E72D297353CC}">
                  <c16:uniqueId val="{00000007-EED7-425E-AFF0-5A01E48ACEEF}"/>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accent5">
                        <a:lumMod val="20000"/>
                        <a:lumOff val="80000"/>
                      </a:schemeClr>
                    </a:solidFill>
                    <a:latin typeface="+mn-lt"/>
                    <a:ea typeface="+mn-ea"/>
                    <a:cs typeface="+mn-cs"/>
                  </a:defRPr>
                </a:pPr>
                <a:endParaRPr lang="fa-IR"/>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'Kasra Pivot'!$L$10:$L$12</c:f>
              <c:strCache>
                <c:ptCount val="3"/>
                <c:pt idx="0">
                  <c:v>تمام وقت </c:v>
                </c:pt>
                <c:pt idx="1">
                  <c:v>زن</c:v>
                </c:pt>
                <c:pt idx="2">
                  <c:v>مرد</c:v>
                </c:pt>
              </c:strCache>
            </c:strRef>
          </c:cat>
          <c:val>
            <c:numRef>
              <c:f>'Kasra Pivot'!$M$10:$M$12</c:f>
              <c:numCache>
                <c:formatCode>General</c:formatCode>
                <c:ptCount val="3"/>
                <c:pt idx="0">
                  <c:v>136</c:v>
                </c:pt>
                <c:pt idx="1">
                  <c:v>3</c:v>
                </c:pt>
                <c:pt idx="2">
                  <c:v>11</c:v>
                </c:pt>
              </c:numCache>
            </c:numRef>
          </c:val>
          <c:extLst>
            <c:ext xmlns:c16="http://schemas.microsoft.com/office/drawing/2014/chart" uri="{C3380CC4-5D6E-409C-BE32-E72D297353CC}">
              <c16:uniqueId val="{00000008-EED7-425E-AFF0-5A01E48ACEEF}"/>
            </c:ext>
          </c:extLst>
        </c:ser>
        <c:dLbls>
          <c:showLegendKey val="0"/>
          <c:showVal val="0"/>
          <c:showCatName val="0"/>
          <c:showSerName val="0"/>
          <c:showPercent val="0"/>
          <c:showBubbleSize val="0"/>
          <c:showLeaderLines val="1"/>
        </c:dLbls>
        <c:gapWidth val="49"/>
        <c:splitType val="pos"/>
        <c:splitPos val="2"/>
        <c:secondPieSize val="40"/>
        <c:serLines>
          <c:spPr>
            <a:ln w="9525" cap="flat" cmpd="sng" algn="ctr">
              <a:solidFill>
                <a:schemeClr val="tx1">
                  <a:lumMod val="35000"/>
                  <a:lumOff val="65000"/>
                </a:schemeClr>
              </a:solidFill>
              <a:round/>
            </a:ln>
            <a:effectLst/>
          </c:spPr>
        </c:serLines>
      </c:ofPieChart>
      <c:spPr>
        <a:noFill/>
        <a:ln>
          <a:noFill/>
        </a:ln>
        <a:effectLst/>
      </c:spPr>
    </c:plotArea>
    <c:legend>
      <c:legendPos val="tr"/>
      <c:layout>
        <c:manualLayout>
          <c:xMode val="edge"/>
          <c:yMode val="edge"/>
          <c:x val="0.33119746196206978"/>
          <c:y val="5.1851876596245357E-2"/>
          <c:w val="0.64155761290324553"/>
          <c:h val="0.10622396967129176"/>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accent5">
                  <a:lumMod val="20000"/>
                  <a:lumOff val="80000"/>
                </a:schemeClr>
              </a:solidFill>
              <a:latin typeface="Microsoft Uighur" panose="02000000000000000000" pitchFamily="2" charset="-78"/>
              <a:ea typeface="+mn-ea"/>
              <a:cs typeface="Microsoft Uighur" panose="02000000000000000000" pitchFamily="2" charset="-78"/>
            </a:defRPr>
          </a:pPr>
          <a:endParaRPr lang="fa-I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noFill/>
      <a:round/>
    </a:ln>
    <a:effectLst/>
  </c:spPr>
  <c:txPr>
    <a:bodyPr/>
    <a:lstStyle/>
    <a:p>
      <a:pPr>
        <a:defRPr/>
      </a:pPr>
      <a:endParaRPr lang="fa-I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[Kasra-Pivot Table.xlsm]Kasra Pivot!PivotTable11</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rgbClr val="2EFE60"/>
          </a:solidFill>
          <a:ln>
            <a:solidFill>
              <a:schemeClr val="accent1">
                <a:lumMod val="20000"/>
                <a:lumOff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FF0000"/>
                  </a:solidFill>
                  <a:latin typeface="Vazirmatn FD Black" pitchFamily="2" charset="-78"/>
                  <a:ea typeface="+mn-ea"/>
                  <a:cs typeface="Vazirmatn FD Black" pitchFamily="2" charset="-78"/>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rgbClr val="00B050"/>
          </a:solidFill>
          <a:ln>
            <a:solidFill>
              <a:schemeClr val="accent1">
                <a:lumMod val="20000"/>
                <a:lumOff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FF0000"/>
                  </a:solidFill>
                  <a:latin typeface="Vazirmatn FD Black" pitchFamily="2" charset="-78"/>
                  <a:ea typeface="+mn-ea"/>
                  <a:cs typeface="Vazirmatn FD Black" pitchFamily="2" charset="-78"/>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rgbClr val="53BF9D"/>
          </a:solidFill>
          <a:ln>
            <a:solidFill>
              <a:schemeClr val="accent1">
                <a:lumMod val="20000"/>
                <a:lumOff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FF0000"/>
                  </a:solidFill>
                  <a:latin typeface="Vazirmatn FD Black" pitchFamily="2" charset="-78"/>
                  <a:ea typeface="+mn-ea"/>
                  <a:cs typeface="Vazirmatn FD Black" pitchFamily="2" charset="-78"/>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rgbClr val="FF0000"/>
          </a:solidFill>
          <a:ln>
            <a:solidFill>
              <a:schemeClr val="accent1">
                <a:lumMod val="20000"/>
                <a:lumOff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FF0000"/>
                  </a:solidFill>
                  <a:latin typeface="Vazirmatn FD Black" pitchFamily="2" charset="-78"/>
                  <a:ea typeface="+mn-ea"/>
                  <a:cs typeface="Vazirmatn FD Black" pitchFamily="2" charset="-78"/>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rgbClr val="F94C66"/>
          </a:solidFill>
          <a:ln>
            <a:solidFill>
              <a:schemeClr val="accent1">
                <a:lumMod val="20000"/>
                <a:lumOff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FF0000"/>
                  </a:solidFill>
                  <a:latin typeface="Vazirmatn FD Black" pitchFamily="2" charset="-78"/>
                  <a:ea typeface="+mn-ea"/>
                  <a:cs typeface="Vazirmatn FD Black" pitchFamily="2" charset="-78"/>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rgbClr val="C00000"/>
          </a:solidFill>
          <a:ln>
            <a:solidFill>
              <a:schemeClr val="accent1">
                <a:lumMod val="20000"/>
                <a:lumOff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FF0000"/>
                  </a:solidFill>
                  <a:latin typeface="Vazirmatn FD Black" pitchFamily="2" charset="-78"/>
                  <a:ea typeface="+mn-ea"/>
                  <a:cs typeface="Vazirmatn FD Black" pitchFamily="2" charset="-78"/>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rgbClr val="FFC000"/>
          </a:solidFill>
          <a:ln>
            <a:solidFill>
              <a:schemeClr val="accent1">
                <a:lumMod val="20000"/>
                <a:lumOff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FF0000"/>
                  </a:solidFill>
                  <a:latin typeface="Vazirmatn FD Black" pitchFamily="2" charset="-78"/>
                  <a:ea typeface="+mn-ea"/>
                  <a:cs typeface="Vazirmatn FD Black" pitchFamily="2" charset="-78"/>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2">
              <a:lumMod val="75000"/>
            </a:schemeClr>
          </a:solidFill>
          <a:ln>
            <a:solidFill>
              <a:schemeClr val="accent1">
                <a:lumMod val="20000"/>
                <a:lumOff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FF0000"/>
                  </a:solidFill>
                  <a:latin typeface="Vazirmatn FD Black" pitchFamily="2" charset="-78"/>
                  <a:ea typeface="+mn-ea"/>
                  <a:cs typeface="Vazirmatn FD Black" pitchFamily="2" charset="-78"/>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2">
              <a:lumMod val="60000"/>
              <a:lumOff val="40000"/>
            </a:schemeClr>
          </a:solidFill>
          <a:ln>
            <a:solidFill>
              <a:schemeClr val="accent1">
                <a:lumMod val="20000"/>
                <a:lumOff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FF0000"/>
                  </a:solidFill>
                  <a:latin typeface="Vazirmatn FD Black" pitchFamily="2" charset="-78"/>
                  <a:ea typeface="+mn-ea"/>
                  <a:cs typeface="Vazirmatn FD Black" pitchFamily="2" charset="-78"/>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rgbClr val="66CCFF"/>
          </a:solidFill>
          <a:ln>
            <a:solidFill>
              <a:schemeClr val="accent1">
                <a:lumMod val="40000"/>
                <a:lumOff val="6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FF0000"/>
                  </a:solidFill>
                  <a:latin typeface="Vazirmatn FD Black" pitchFamily="2" charset="-78"/>
                  <a:ea typeface="+mn-ea"/>
                  <a:cs typeface="Vazirmatn FD Black" pitchFamily="2" charset="-78"/>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rgbClr val="00CCFF"/>
          </a:solidFill>
          <a:ln>
            <a:solidFill>
              <a:schemeClr val="accent1">
                <a:lumMod val="20000"/>
                <a:lumOff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FF0000"/>
                  </a:solidFill>
                  <a:latin typeface="Vazirmatn FD Black" pitchFamily="2" charset="-78"/>
                  <a:ea typeface="+mn-ea"/>
                  <a:cs typeface="Vazirmatn FD Black" pitchFamily="2" charset="-78"/>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rgbClr val="0070C0"/>
          </a:solidFill>
          <a:ln>
            <a:solidFill>
              <a:schemeClr val="accent1">
                <a:lumMod val="20000"/>
                <a:lumOff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FF0000"/>
                  </a:solidFill>
                  <a:latin typeface="Vazirmatn FD Black" pitchFamily="2" charset="-78"/>
                  <a:ea typeface="+mn-ea"/>
                  <a:cs typeface="Vazirmatn FD Black" pitchFamily="2" charset="-78"/>
                </a:defRPr>
              </a:pPr>
              <a:endParaRPr lang="fa-IR"/>
            </a:p>
          </c:txPr>
          <c:showLegendKey val="0"/>
          <c:showVal val="0"/>
          <c:showCatName val="0"/>
          <c:showSerName val="0"/>
          <c:showPercent val="0"/>
          <c:showBubbleSize val="0"/>
          <c:extLst>
            <c:ext xmlns:c15="http://schemas.microsoft.com/office/drawing/2012/chart" uri="{CE6537A1-D6FC-4f65-9D91-7224C49458BB}"/>
          </c:extLst>
        </c:dLbl>
      </c:pivotFmt>
      <c:pivotFmt>
        <c:idx val="55"/>
      </c:pivotFmt>
    </c:pivotFmts>
    <c:plotArea>
      <c:layout>
        <c:manualLayout>
          <c:layoutTarget val="inner"/>
          <c:xMode val="edge"/>
          <c:yMode val="edge"/>
          <c:x val="9.2918869262801199E-2"/>
          <c:y val="3.1457773835150159E-2"/>
          <c:w val="0.80074383980430497"/>
          <c:h val="0.80666862693124919"/>
        </c:manualLayout>
      </c:layout>
      <c:barChart>
        <c:barDir val="col"/>
        <c:grouping val="clustered"/>
        <c:varyColors val="0"/>
        <c:ser>
          <c:idx val="0"/>
          <c:order val="0"/>
          <c:tx>
            <c:strRef>
              <c:f>'Kasra Pivot'!$R$3:$R$4</c:f>
              <c:strCache>
                <c:ptCount val="1"/>
                <c:pt idx="0">
                  <c:v>فروردین</c:v>
                </c:pt>
              </c:strCache>
            </c:strRef>
          </c:tx>
          <c:spPr>
            <a:solidFill>
              <a:srgbClr val="2EFE60"/>
            </a:solidFill>
            <a:ln>
              <a:solidFill>
                <a:schemeClr val="accent1">
                  <a:lumMod val="20000"/>
                  <a:lumOff val="80000"/>
                </a:schemeClr>
              </a:solidFill>
            </a:ln>
            <a:effectLst/>
          </c:spPr>
          <c:invertIfNegative val="0"/>
          <c:cat>
            <c:strRef>
              <c:f>'Kasra Pivot'!$Q$5:$Q$6</c:f>
              <c:strCache>
                <c:ptCount val="1"/>
                <c:pt idx="0">
                  <c:v>نیک اندیش</c:v>
                </c:pt>
              </c:strCache>
            </c:strRef>
          </c:cat>
          <c:val>
            <c:numRef>
              <c:f>'Kasra Pivot'!$R$5:$R$6</c:f>
              <c:numCache>
                <c:formatCode>#,##0\ </c:formatCode>
                <c:ptCount val="1"/>
                <c:pt idx="0">
                  <c:v>432000000000</c:v>
                </c:pt>
              </c:numCache>
            </c:numRef>
          </c:val>
          <c:extLst>
            <c:ext xmlns:c16="http://schemas.microsoft.com/office/drawing/2014/chart" uri="{C3380CC4-5D6E-409C-BE32-E72D297353CC}">
              <c16:uniqueId val="{00000000-7BDB-4A2E-885F-9962A23B540E}"/>
            </c:ext>
          </c:extLst>
        </c:ser>
        <c:ser>
          <c:idx val="1"/>
          <c:order val="1"/>
          <c:tx>
            <c:strRef>
              <c:f>'Kasra Pivot'!$S$3:$S$4</c:f>
              <c:strCache>
                <c:ptCount val="1"/>
                <c:pt idx="0">
                  <c:v>اردیبهشت</c:v>
                </c:pt>
              </c:strCache>
            </c:strRef>
          </c:tx>
          <c:spPr>
            <a:solidFill>
              <a:srgbClr val="00B050"/>
            </a:solidFill>
            <a:ln>
              <a:solidFill>
                <a:schemeClr val="accent1">
                  <a:lumMod val="20000"/>
                  <a:lumOff val="80000"/>
                </a:schemeClr>
              </a:solidFill>
            </a:ln>
            <a:effectLst/>
          </c:spPr>
          <c:invertIfNegative val="0"/>
          <c:cat>
            <c:strRef>
              <c:f>'Kasra Pivot'!$Q$5:$Q$6</c:f>
              <c:strCache>
                <c:ptCount val="1"/>
                <c:pt idx="0">
                  <c:v>نیک اندیش</c:v>
                </c:pt>
              </c:strCache>
            </c:strRef>
          </c:cat>
          <c:val>
            <c:numRef>
              <c:f>'Kasra Pivot'!$S$5:$S$6</c:f>
              <c:numCache>
                <c:formatCode>#,##0\ </c:formatCode>
                <c:ptCount val="1"/>
                <c:pt idx="0">
                  <c:v>540000000000</c:v>
                </c:pt>
              </c:numCache>
            </c:numRef>
          </c:val>
          <c:extLst>
            <c:ext xmlns:c16="http://schemas.microsoft.com/office/drawing/2014/chart" uri="{C3380CC4-5D6E-409C-BE32-E72D297353CC}">
              <c16:uniqueId val="{00000001-7BDB-4A2E-885F-9962A23B540E}"/>
            </c:ext>
          </c:extLst>
        </c:ser>
        <c:ser>
          <c:idx val="2"/>
          <c:order val="2"/>
          <c:tx>
            <c:strRef>
              <c:f>'Kasra Pivot'!$T$3:$T$4</c:f>
              <c:strCache>
                <c:ptCount val="1"/>
                <c:pt idx="0">
                  <c:v>خرداد</c:v>
                </c:pt>
              </c:strCache>
            </c:strRef>
          </c:tx>
          <c:spPr>
            <a:solidFill>
              <a:srgbClr val="53BF9D"/>
            </a:solidFill>
            <a:ln>
              <a:solidFill>
                <a:schemeClr val="accent1">
                  <a:lumMod val="20000"/>
                  <a:lumOff val="80000"/>
                </a:schemeClr>
              </a:solidFill>
            </a:ln>
            <a:effectLst/>
          </c:spPr>
          <c:invertIfNegative val="0"/>
          <c:cat>
            <c:strRef>
              <c:f>'Kasra Pivot'!$Q$5:$Q$6</c:f>
              <c:strCache>
                <c:ptCount val="1"/>
                <c:pt idx="0">
                  <c:v>نیک اندیش</c:v>
                </c:pt>
              </c:strCache>
            </c:strRef>
          </c:cat>
          <c:val>
            <c:numRef>
              <c:f>'Kasra Pivot'!$T$5:$T$6</c:f>
              <c:numCache>
                <c:formatCode>#,##0\ </c:formatCode>
                <c:ptCount val="1"/>
                <c:pt idx="0">
                  <c:v>515000000000</c:v>
                </c:pt>
              </c:numCache>
            </c:numRef>
          </c:val>
          <c:extLst>
            <c:ext xmlns:c16="http://schemas.microsoft.com/office/drawing/2014/chart" uri="{C3380CC4-5D6E-409C-BE32-E72D297353CC}">
              <c16:uniqueId val="{00000002-7BDB-4A2E-885F-9962A23B540E}"/>
            </c:ext>
          </c:extLst>
        </c:ser>
        <c:ser>
          <c:idx val="3"/>
          <c:order val="3"/>
          <c:tx>
            <c:strRef>
              <c:f>'Kasra Pivot'!$U$3:$U$4</c:f>
              <c:strCache>
                <c:ptCount val="1"/>
                <c:pt idx="0">
                  <c:v>تیر</c:v>
                </c:pt>
              </c:strCache>
            </c:strRef>
          </c:tx>
          <c:spPr>
            <a:solidFill>
              <a:srgbClr val="FF0000"/>
            </a:solidFill>
            <a:ln>
              <a:solidFill>
                <a:schemeClr val="accent1">
                  <a:lumMod val="20000"/>
                  <a:lumOff val="80000"/>
                </a:schemeClr>
              </a:solidFill>
            </a:ln>
            <a:effectLst/>
          </c:spPr>
          <c:invertIfNegative val="0"/>
          <c:cat>
            <c:strRef>
              <c:f>'Kasra Pivot'!$Q$5:$Q$6</c:f>
              <c:strCache>
                <c:ptCount val="1"/>
                <c:pt idx="0">
                  <c:v>نیک اندیش</c:v>
                </c:pt>
              </c:strCache>
            </c:strRef>
          </c:cat>
          <c:val>
            <c:numRef>
              <c:f>'Kasra Pivot'!$U$5:$U$6</c:f>
              <c:numCache>
                <c:formatCode>#,##0\ </c:formatCode>
                <c:ptCount val="1"/>
                <c:pt idx="0">
                  <c:v>301550000000</c:v>
                </c:pt>
              </c:numCache>
            </c:numRef>
          </c:val>
          <c:extLst>
            <c:ext xmlns:c16="http://schemas.microsoft.com/office/drawing/2014/chart" uri="{C3380CC4-5D6E-409C-BE32-E72D297353CC}">
              <c16:uniqueId val="{00000003-7BDB-4A2E-885F-9962A23B540E}"/>
            </c:ext>
          </c:extLst>
        </c:ser>
        <c:ser>
          <c:idx val="4"/>
          <c:order val="4"/>
          <c:tx>
            <c:strRef>
              <c:f>'Kasra Pivot'!$V$3:$V$4</c:f>
              <c:strCache>
                <c:ptCount val="1"/>
                <c:pt idx="0">
                  <c:v>مرداد</c:v>
                </c:pt>
              </c:strCache>
            </c:strRef>
          </c:tx>
          <c:spPr>
            <a:solidFill>
              <a:srgbClr val="F94C66"/>
            </a:solidFill>
            <a:ln>
              <a:solidFill>
                <a:schemeClr val="accent1">
                  <a:lumMod val="20000"/>
                  <a:lumOff val="80000"/>
                </a:schemeClr>
              </a:solidFill>
            </a:ln>
            <a:effectLst/>
          </c:spPr>
          <c:invertIfNegative val="0"/>
          <c:cat>
            <c:strRef>
              <c:f>'Kasra Pivot'!$Q$5:$Q$6</c:f>
              <c:strCache>
                <c:ptCount val="1"/>
                <c:pt idx="0">
                  <c:v>نیک اندیش</c:v>
                </c:pt>
              </c:strCache>
            </c:strRef>
          </c:cat>
          <c:val>
            <c:numRef>
              <c:f>'Kasra Pivot'!$V$5:$V$6</c:f>
              <c:numCache>
                <c:formatCode>#,##0\ </c:formatCode>
                <c:ptCount val="1"/>
                <c:pt idx="0">
                  <c:v>372340000000</c:v>
                </c:pt>
              </c:numCache>
            </c:numRef>
          </c:val>
          <c:extLst>
            <c:ext xmlns:c16="http://schemas.microsoft.com/office/drawing/2014/chart" uri="{C3380CC4-5D6E-409C-BE32-E72D297353CC}">
              <c16:uniqueId val="{00000004-7BDB-4A2E-885F-9962A23B540E}"/>
            </c:ext>
          </c:extLst>
        </c:ser>
        <c:ser>
          <c:idx val="5"/>
          <c:order val="5"/>
          <c:tx>
            <c:strRef>
              <c:f>'Kasra Pivot'!$W$3:$W$4</c:f>
              <c:strCache>
                <c:ptCount val="1"/>
                <c:pt idx="0">
                  <c:v>شهریور</c:v>
                </c:pt>
              </c:strCache>
            </c:strRef>
          </c:tx>
          <c:spPr>
            <a:solidFill>
              <a:srgbClr val="C00000"/>
            </a:solidFill>
            <a:ln>
              <a:solidFill>
                <a:schemeClr val="accent1">
                  <a:lumMod val="20000"/>
                  <a:lumOff val="80000"/>
                </a:schemeClr>
              </a:solidFill>
            </a:ln>
            <a:effectLst/>
          </c:spPr>
          <c:invertIfNegative val="0"/>
          <c:cat>
            <c:strRef>
              <c:f>'Kasra Pivot'!$Q$5:$Q$6</c:f>
              <c:strCache>
                <c:ptCount val="1"/>
                <c:pt idx="0">
                  <c:v>نیک اندیش</c:v>
                </c:pt>
              </c:strCache>
            </c:strRef>
          </c:cat>
          <c:val>
            <c:numRef>
              <c:f>'Kasra Pivot'!$W$5:$W$6</c:f>
              <c:numCache>
                <c:formatCode>#,##0\ </c:formatCode>
                <c:ptCount val="1"/>
                <c:pt idx="0">
                  <c:v>426630000000</c:v>
                </c:pt>
              </c:numCache>
            </c:numRef>
          </c:val>
          <c:extLst>
            <c:ext xmlns:c16="http://schemas.microsoft.com/office/drawing/2014/chart" uri="{C3380CC4-5D6E-409C-BE32-E72D297353CC}">
              <c16:uniqueId val="{00000005-7BDB-4A2E-885F-9962A23B540E}"/>
            </c:ext>
          </c:extLst>
        </c:ser>
        <c:ser>
          <c:idx val="6"/>
          <c:order val="6"/>
          <c:tx>
            <c:strRef>
              <c:f>'Kasra Pivot'!$X$3:$X$4</c:f>
              <c:strCache>
                <c:ptCount val="1"/>
                <c:pt idx="0">
                  <c:v>مهر</c:v>
                </c:pt>
              </c:strCache>
            </c:strRef>
          </c:tx>
          <c:spPr>
            <a:solidFill>
              <a:srgbClr val="FFC000"/>
            </a:solidFill>
            <a:ln>
              <a:solidFill>
                <a:schemeClr val="accent1">
                  <a:lumMod val="20000"/>
                  <a:lumOff val="80000"/>
                </a:schemeClr>
              </a:solidFill>
            </a:ln>
            <a:effectLst/>
          </c:spPr>
          <c:invertIfNegative val="0"/>
          <c:cat>
            <c:strRef>
              <c:f>'Kasra Pivot'!$Q$5:$Q$6</c:f>
              <c:strCache>
                <c:ptCount val="1"/>
                <c:pt idx="0">
                  <c:v>نیک اندیش</c:v>
                </c:pt>
              </c:strCache>
            </c:strRef>
          </c:cat>
          <c:val>
            <c:numRef>
              <c:f>'Kasra Pivot'!$X$5:$X$6</c:f>
              <c:numCache>
                <c:formatCode>#,##0\ </c:formatCode>
                <c:ptCount val="1"/>
                <c:pt idx="0">
                  <c:v>430580000000</c:v>
                </c:pt>
              </c:numCache>
            </c:numRef>
          </c:val>
          <c:extLst>
            <c:ext xmlns:c16="http://schemas.microsoft.com/office/drawing/2014/chart" uri="{C3380CC4-5D6E-409C-BE32-E72D297353CC}">
              <c16:uniqueId val="{00000006-7BDB-4A2E-885F-9962A23B540E}"/>
            </c:ext>
          </c:extLst>
        </c:ser>
        <c:ser>
          <c:idx val="7"/>
          <c:order val="7"/>
          <c:tx>
            <c:strRef>
              <c:f>'Kasra Pivot'!$Y$3:$Y$4</c:f>
              <c:strCache>
                <c:ptCount val="1"/>
                <c:pt idx="0">
                  <c:v>آبان</c:v>
                </c:pt>
              </c:strCache>
            </c:strRef>
          </c:tx>
          <c:spPr>
            <a:solidFill>
              <a:schemeClr val="accent2">
                <a:lumMod val="75000"/>
              </a:schemeClr>
            </a:solidFill>
            <a:ln>
              <a:solidFill>
                <a:schemeClr val="accent1">
                  <a:lumMod val="20000"/>
                  <a:lumOff val="80000"/>
                </a:schemeClr>
              </a:solidFill>
            </a:ln>
            <a:effectLst/>
          </c:spPr>
          <c:invertIfNegative val="0"/>
          <c:cat>
            <c:strRef>
              <c:f>'Kasra Pivot'!$Q$5:$Q$6</c:f>
              <c:strCache>
                <c:ptCount val="1"/>
                <c:pt idx="0">
                  <c:v>نیک اندیش</c:v>
                </c:pt>
              </c:strCache>
            </c:strRef>
          </c:cat>
          <c:val>
            <c:numRef>
              <c:f>'Kasra Pivot'!$Y$5:$Y$6</c:f>
              <c:numCache>
                <c:formatCode>#,##0\ </c:formatCode>
                <c:ptCount val="1"/>
                <c:pt idx="0">
                  <c:v>502160000000</c:v>
                </c:pt>
              </c:numCache>
            </c:numRef>
          </c:val>
          <c:extLst>
            <c:ext xmlns:c16="http://schemas.microsoft.com/office/drawing/2014/chart" uri="{C3380CC4-5D6E-409C-BE32-E72D297353CC}">
              <c16:uniqueId val="{00000007-7BDB-4A2E-885F-9962A23B540E}"/>
            </c:ext>
          </c:extLst>
        </c:ser>
        <c:ser>
          <c:idx val="8"/>
          <c:order val="8"/>
          <c:tx>
            <c:strRef>
              <c:f>'Kasra Pivot'!$Z$3:$Z$4</c:f>
              <c:strCache>
                <c:ptCount val="1"/>
                <c:pt idx="0">
                  <c:v>آذر</c:v>
                </c:pt>
              </c:strCache>
            </c:strRef>
          </c:tx>
          <c:spPr>
            <a:solidFill>
              <a:schemeClr val="accent2">
                <a:lumMod val="60000"/>
                <a:lumOff val="40000"/>
              </a:schemeClr>
            </a:solidFill>
            <a:ln>
              <a:solidFill>
                <a:schemeClr val="accent1">
                  <a:lumMod val="20000"/>
                  <a:lumOff val="80000"/>
                </a:schemeClr>
              </a:solidFill>
            </a:ln>
            <a:effectLst/>
          </c:spPr>
          <c:invertIfNegative val="0"/>
          <c:cat>
            <c:strRef>
              <c:f>'Kasra Pivot'!$Q$5:$Q$6</c:f>
              <c:strCache>
                <c:ptCount val="1"/>
                <c:pt idx="0">
                  <c:v>نیک اندیش</c:v>
                </c:pt>
              </c:strCache>
            </c:strRef>
          </c:cat>
          <c:val>
            <c:numRef>
              <c:f>'Kasra Pivot'!$Z$5:$Z$6</c:f>
              <c:numCache>
                <c:formatCode>#,##0\ </c:formatCode>
                <c:ptCount val="1"/>
                <c:pt idx="0">
                  <c:v>470770000000</c:v>
                </c:pt>
              </c:numCache>
            </c:numRef>
          </c:val>
          <c:extLst>
            <c:ext xmlns:c16="http://schemas.microsoft.com/office/drawing/2014/chart" uri="{C3380CC4-5D6E-409C-BE32-E72D297353CC}">
              <c16:uniqueId val="{00000008-7BDB-4A2E-885F-9962A23B540E}"/>
            </c:ext>
          </c:extLst>
        </c:ser>
        <c:ser>
          <c:idx val="9"/>
          <c:order val="9"/>
          <c:tx>
            <c:strRef>
              <c:f>'Kasra Pivot'!$AA$3:$AA$4</c:f>
              <c:strCache>
                <c:ptCount val="1"/>
                <c:pt idx="0">
                  <c:v>دی</c:v>
                </c:pt>
              </c:strCache>
            </c:strRef>
          </c:tx>
          <c:spPr>
            <a:solidFill>
              <a:srgbClr val="66CCFF"/>
            </a:solidFill>
            <a:ln>
              <a:solidFill>
                <a:schemeClr val="accent1">
                  <a:lumMod val="40000"/>
                  <a:lumOff val="60000"/>
                </a:schemeClr>
              </a:solidFill>
            </a:ln>
            <a:effectLst/>
          </c:spPr>
          <c:invertIfNegative val="0"/>
          <c:cat>
            <c:strRef>
              <c:f>'Kasra Pivot'!$Q$5:$Q$6</c:f>
              <c:strCache>
                <c:ptCount val="1"/>
                <c:pt idx="0">
                  <c:v>نیک اندیش</c:v>
                </c:pt>
              </c:strCache>
            </c:strRef>
          </c:cat>
          <c:val>
            <c:numRef>
              <c:f>'Kasra Pivot'!$AA$5:$AA$6</c:f>
              <c:numCache>
                <c:formatCode>#,##0\ </c:formatCode>
                <c:ptCount val="1"/>
                <c:pt idx="0">
                  <c:v>334580000000</c:v>
                </c:pt>
              </c:numCache>
            </c:numRef>
          </c:val>
          <c:extLst>
            <c:ext xmlns:c16="http://schemas.microsoft.com/office/drawing/2014/chart" uri="{C3380CC4-5D6E-409C-BE32-E72D297353CC}">
              <c16:uniqueId val="{00000009-7BDB-4A2E-885F-9962A23B540E}"/>
            </c:ext>
          </c:extLst>
        </c:ser>
        <c:ser>
          <c:idx val="10"/>
          <c:order val="10"/>
          <c:tx>
            <c:strRef>
              <c:f>'Kasra Pivot'!$AB$3:$AB$4</c:f>
              <c:strCache>
                <c:ptCount val="1"/>
                <c:pt idx="0">
                  <c:v>بهمن</c:v>
                </c:pt>
              </c:strCache>
            </c:strRef>
          </c:tx>
          <c:spPr>
            <a:solidFill>
              <a:srgbClr val="00CCFF"/>
            </a:solidFill>
            <a:ln>
              <a:solidFill>
                <a:schemeClr val="accent1">
                  <a:lumMod val="20000"/>
                  <a:lumOff val="80000"/>
                </a:schemeClr>
              </a:solidFill>
            </a:ln>
            <a:effectLst/>
          </c:spPr>
          <c:invertIfNegative val="0"/>
          <c:cat>
            <c:strRef>
              <c:f>'Kasra Pivot'!$Q$5:$Q$6</c:f>
              <c:strCache>
                <c:ptCount val="1"/>
                <c:pt idx="0">
                  <c:v>نیک اندیش</c:v>
                </c:pt>
              </c:strCache>
            </c:strRef>
          </c:cat>
          <c:val>
            <c:numRef>
              <c:f>'Kasra Pivot'!$AB$5:$AB$6</c:f>
              <c:numCache>
                <c:formatCode>#,##0\ </c:formatCode>
                <c:ptCount val="1"/>
                <c:pt idx="0">
                  <c:v>301260000000</c:v>
                </c:pt>
              </c:numCache>
            </c:numRef>
          </c:val>
          <c:extLst>
            <c:ext xmlns:c16="http://schemas.microsoft.com/office/drawing/2014/chart" uri="{C3380CC4-5D6E-409C-BE32-E72D297353CC}">
              <c16:uniqueId val="{0000000A-7BDB-4A2E-885F-9962A23B540E}"/>
            </c:ext>
          </c:extLst>
        </c:ser>
        <c:ser>
          <c:idx val="11"/>
          <c:order val="11"/>
          <c:tx>
            <c:strRef>
              <c:f>'Kasra Pivot'!$AC$3:$AC$4</c:f>
              <c:strCache>
                <c:ptCount val="1"/>
                <c:pt idx="0">
                  <c:v>اسفند</c:v>
                </c:pt>
              </c:strCache>
            </c:strRef>
          </c:tx>
          <c:spPr>
            <a:solidFill>
              <a:srgbClr val="0070C0"/>
            </a:solidFill>
            <a:ln>
              <a:solidFill>
                <a:schemeClr val="accent1">
                  <a:lumMod val="20000"/>
                  <a:lumOff val="80000"/>
                </a:schemeClr>
              </a:solidFill>
            </a:ln>
            <a:effectLst/>
          </c:spPr>
          <c:invertIfNegative val="0"/>
          <c:cat>
            <c:strRef>
              <c:f>'Kasra Pivot'!$Q$5:$Q$6</c:f>
              <c:strCache>
                <c:ptCount val="1"/>
                <c:pt idx="0">
                  <c:v>نیک اندیش</c:v>
                </c:pt>
              </c:strCache>
            </c:strRef>
          </c:cat>
          <c:val>
            <c:numRef>
              <c:f>'Kasra Pivot'!$AC$5:$AC$6</c:f>
              <c:numCache>
                <c:formatCode>#,##0\ </c:formatCode>
                <c:ptCount val="1"/>
                <c:pt idx="0">
                  <c:v>420350000000</c:v>
                </c:pt>
              </c:numCache>
            </c:numRef>
          </c:val>
          <c:extLst>
            <c:ext xmlns:c16="http://schemas.microsoft.com/office/drawing/2014/chart" uri="{C3380CC4-5D6E-409C-BE32-E72D297353CC}">
              <c16:uniqueId val="{0000000B-7BDB-4A2E-885F-9962A23B540E}"/>
            </c:ext>
          </c:extLst>
        </c:ser>
        <c:dLbls>
          <c:showLegendKey val="0"/>
          <c:showVal val="0"/>
          <c:showCatName val="0"/>
          <c:showSerName val="0"/>
          <c:showPercent val="0"/>
          <c:showBubbleSize val="0"/>
        </c:dLbls>
        <c:gapWidth val="182"/>
        <c:axId val="23807456"/>
        <c:axId val="246221040"/>
      </c:barChart>
      <c:catAx>
        <c:axId val="23807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accent1">
                    <a:lumMod val="20000"/>
                    <a:lumOff val="80000"/>
                  </a:schemeClr>
                </a:solidFill>
                <a:latin typeface="Vazirmatn FD Black" pitchFamily="2" charset="-78"/>
                <a:ea typeface="+mn-ea"/>
                <a:cs typeface="Vazirmatn FD Black" pitchFamily="2" charset="-78"/>
              </a:defRPr>
            </a:pPr>
            <a:endParaRPr lang="fa-IR"/>
          </a:p>
        </c:txPr>
        <c:crossAx val="246221040"/>
        <c:crosses val="autoZero"/>
        <c:auto val="1"/>
        <c:lblAlgn val="ctr"/>
        <c:lblOffset val="100"/>
        <c:noMultiLvlLbl val="0"/>
      </c:catAx>
      <c:valAx>
        <c:axId val="246221040"/>
        <c:scaling>
          <c:orientation val="minMax"/>
        </c:scaling>
        <c:delete val="0"/>
        <c:axPos val="l"/>
        <c:majorGridlines>
          <c:spPr>
            <a:ln w="9525" cap="flat" cmpd="sng" algn="ctr">
              <a:solidFill>
                <a:schemeClr val="tx1">
                  <a:lumMod val="15000"/>
                  <a:lumOff val="85000"/>
                </a:schemeClr>
              </a:solidFill>
              <a:round/>
            </a:ln>
            <a:effectLst/>
          </c:spPr>
        </c:majorGridlines>
        <c:numFmt formatCode="#,##0\ " sourceLinked="1"/>
        <c:majorTickMark val="none"/>
        <c:minorTickMark val="none"/>
        <c:tickLblPos val="nextTo"/>
        <c:spPr>
          <a:noFill/>
          <a:ln>
            <a:solidFill>
              <a:schemeClr val="accent1">
                <a:lumMod val="20000"/>
                <a:lumOff val="80000"/>
              </a:schemeClr>
            </a:solidFill>
          </a:ln>
          <a:effectLst/>
        </c:spPr>
        <c:txPr>
          <a:bodyPr rot="-60000000" spcFirstLastPara="1" vertOverflow="ellipsis" vert="horz" wrap="square" anchor="ctr" anchorCtr="1"/>
          <a:lstStyle/>
          <a:p>
            <a:pPr>
              <a:defRPr lang="en-US" sz="1000" b="1" i="0" u="none" strike="noStrike" kern="1200" baseline="0">
                <a:solidFill>
                  <a:schemeClr val="accent1">
                    <a:lumMod val="20000"/>
                    <a:lumOff val="80000"/>
                  </a:schemeClr>
                </a:solidFill>
                <a:latin typeface="Vazirmatn FD Black" pitchFamily="2" charset="-78"/>
                <a:ea typeface="+mn-ea"/>
                <a:cs typeface="Vazirmatn FD Black" pitchFamily="2" charset="-78"/>
              </a:defRPr>
            </a:pPr>
            <a:endParaRPr lang="fa-IR"/>
          </a:p>
        </c:txPr>
        <c:crossAx val="23807456"/>
        <c:crosses val="autoZero"/>
        <c:crossBetween val="between"/>
        <c:dispUnits>
          <c:builtInUnit val="millions"/>
          <c:dispUnitsLbl>
            <c:layout>
              <c:manualLayout>
                <c:xMode val="edge"/>
                <c:yMode val="edge"/>
                <c:x val="2.2031932116952677E-2"/>
                <c:y val="0.75282500069191283"/>
              </c:manualLayout>
            </c:layout>
            <c:spPr>
              <a:noFill/>
              <a:ln>
                <a:noFill/>
              </a:ln>
              <a:effectLst/>
            </c:spPr>
            <c:txPr>
              <a:bodyPr rot="-5400000" spcFirstLastPara="1" vertOverflow="ellipsis" vert="horz" wrap="square" anchor="ctr" anchorCtr="1"/>
              <a:lstStyle/>
              <a:p>
                <a:pPr>
                  <a:defRPr lang="en-US" sz="1000" b="1" i="0" u="none" strike="noStrike" kern="1200" baseline="0">
                    <a:solidFill>
                      <a:srgbClr val="FF0000"/>
                    </a:solidFill>
                    <a:latin typeface="Vazirmatn FD Black" pitchFamily="2" charset="-78"/>
                    <a:ea typeface="+mn-ea"/>
                    <a:cs typeface="Vazirmatn FD Black" pitchFamily="2" charset="-78"/>
                  </a:defRPr>
                </a:pPr>
                <a:endParaRPr lang="fa-IR"/>
              </a:p>
            </c:txPr>
          </c:dispUnitsLbl>
        </c:dispUnits>
      </c:valAx>
      <c:spPr>
        <a:noFill/>
        <a:ln>
          <a:solidFill>
            <a:schemeClr val="accent1">
              <a:lumMod val="20000"/>
              <a:lumOff val="80000"/>
            </a:schemeClr>
          </a:solidFill>
        </a:ln>
        <a:effectLst/>
      </c:spPr>
    </c:plotArea>
    <c:legend>
      <c:legendPos val="r"/>
      <c:legendEntry>
        <c:idx val="2"/>
        <c:txPr>
          <a:bodyPr rot="0" spcFirstLastPara="1" vertOverflow="ellipsis" vert="horz" wrap="square" anchor="ctr" anchorCtr="1"/>
          <a:lstStyle/>
          <a:p>
            <a:pPr>
              <a:defRPr lang="en-US" sz="1000" b="1" i="0" u="none" strike="noStrike" kern="1200" baseline="0">
                <a:solidFill>
                  <a:srgbClr val="002060"/>
                </a:solidFill>
                <a:latin typeface="Vazirmatn FD Black" pitchFamily="2" charset="-78"/>
                <a:ea typeface="+mn-ea"/>
                <a:cs typeface="Vazirmatn FD Black" pitchFamily="2" charset="-78"/>
              </a:defRPr>
            </a:pPr>
            <a:endParaRPr lang="fa-IR"/>
          </a:p>
        </c:txPr>
      </c:legendEntry>
      <c:layout>
        <c:manualLayout>
          <c:xMode val="edge"/>
          <c:yMode val="edge"/>
          <c:x val="0.91499231478121656"/>
          <c:y val="3.3230768769530662E-2"/>
          <c:w val="7.7053139289736297E-2"/>
          <c:h val="0.80928247815088228"/>
        </c:manualLayout>
      </c:layout>
      <c:overlay val="0"/>
      <c:spPr>
        <a:solidFill>
          <a:schemeClr val="accent1">
            <a:lumMod val="20000"/>
            <a:lumOff val="80000"/>
          </a:schemeClr>
        </a:solidFill>
        <a:ln>
          <a:noFill/>
        </a:ln>
        <a:effectLst/>
      </c:spPr>
      <c:txPr>
        <a:bodyPr rot="0" spcFirstLastPara="1" vertOverflow="ellipsis" vert="horz" wrap="square" anchor="ctr" anchorCtr="1"/>
        <a:lstStyle/>
        <a:p>
          <a:pPr>
            <a:defRPr lang="en-US" sz="1000" b="1" i="0" u="none" strike="noStrike" kern="1200" baseline="0">
              <a:solidFill>
                <a:srgbClr val="002060"/>
              </a:solidFill>
              <a:latin typeface="Vazirmatn FD Black" pitchFamily="2" charset="-78"/>
              <a:ea typeface="+mn-ea"/>
              <a:cs typeface="Vazirmatn FD Black" pitchFamily="2" charset="-78"/>
            </a:defRPr>
          </a:pPr>
          <a:endParaRPr lang="fa-I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noFill/>
      <a:round/>
    </a:ln>
    <a:effectLst/>
  </c:spPr>
  <c:txPr>
    <a:bodyPr/>
    <a:lstStyle/>
    <a:p>
      <a:pPr>
        <a:defRPr lang="en-US" sz="1000" b="1" i="0" u="none" strike="noStrike" kern="1200" baseline="0">
          <a:solidFill>
            <a:srgbClr val="FF0000"/>
          </a:solidFill>
          <a:latin typeface="Vazirmatn FD Black" pitchFamily="2" charset="-78"/>
          <a:ea typeface="+mn-ea"/>
          <a:cs typeface="Vazirmatn FD Black" pitchFamily="2" charset="-78"/>
        </a:defRPr>
      </a:pPr>
      <a:endParaRPr lang="fa-IR"/>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image" Target="../media/image1.png"/><Relationship Id="rId7"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4.svg"/><Relationship Id="rId5" Type="http://schemas.openxmlformats.org/officeDocument/2006/relationships/image" Target="../media/image3.png"/><Relationship Id="rId4" Type="http://schemas.openxmlformats.org/officeDocument/2006/relationships/image" Target="../media/image2.svg"/><Relationship Id="rId9" Type="http://schemas.openxmlformats.org/officeDocument/2006/relationships/chart" Target="../charts/chart5.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4764</xdr:rowOff>
    </xdr:from>
    <xdr:to>
      <xdr:col>5</xdr:col>
      <xdr:colOff>38100</xdr:colOff>
      <xdr:row>14</xdr:row>
      <xdr:rowOff>95250</xdr:rowOff>
    </xdr:to>
    <xdr:graphicFrame macro="">
      <xdr:nvGraphicFramePr>
        <xdr:cNvPr id="2" name="Chart 1">
          <a:extLst>
            <a:ext uri="{FF2B5EF4-FFF2-40B4-BE49-F238E27FC236}">
              <a16:creationId xmlns:a16="http://schemas.microsoft.com/office/drawing/2014/main" id="{04CAD87B-22E4-49FC-940D-FC0DB21B2F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161925</xdr:rowOff>
    </xdr:from>
    <xdr:to>
      <xdr:col>5</xdr:col>
      <xdr:colOff>28575</xdr:colOff>
      <xdr:row>30</xdr:row>
      <xdr:rowOff>161925</xdr:rowOff>
    </xdr:to>
    <xdr:graphicFrame macro="">
      <xdr:nvGraphicFramePr>
        <xdr:cNvPr id="3" name="Chart 2">
          <a:extLst>
            <a:ext uri="{FF2B5EF4-FFF2-40B4-BE49-F238E27FC236}">
              <a16:creationId xmlns:a16="http://schemas.microsoft.com/office/drawing/2014/main" id="{5F43642D-915F-41A2-84FF-657B0993C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556250</xdr:colOff>
      <xdr:row>16</xdr:row>
      <xdr:rowOff>84364</xdr:rowOff>
    </xdr:from>
    <xdr:to>
      <xdr:col>4</xdr:col>
      <xdr:colOff>423994</xdr:colOff>
      <xdr:row>19</xdr:row>
      <xdr:rowOff>36751</xdr:rowOff>
    </xdr:to>
    <xdr:pic>
      <xdr:nvPicPr>
        <xdr:cNvPr id="4" name="Graphic 3" descr="Man with solid fill">
          <a:extLst>
            <a:ext uri="{FF2B5EF4-FFF2-40B4-BE49-F238E27FC236}">
              <a16:creationId xmlns:a16="http://schemas.microsoft.com/office/drawing/2014/main" id="{30848785-7518-406E-80A7-F1AC90FA829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255268506" y="2805793"/>
          <a:ext cx="554904" cy="462655"/>
        </a:xfrm>
        <a:prstGeom prst="rect">
          <a:avLst/>
        </a:prstGeom>
      </xdr:spPr>
    </xdr:pic>
    <xdr:clientData/>
  </xdr:twoCellAnchor>
  <xdr:twoCellAnchor>
    <xdr:from>
      <xdr:col>3</xdr:col>
      <xdr:colOff>267380</xdr:colOff>
      <xdr:row>16</xdr:row>
      <xdr:rowOff>78769</xdr:rowOff>
    </xdr:from>
    <xdr:to>
      <xdr:col>4</xdr:col>
      <xdr:colOff>136932</xdr:colOff>
      <xdr:row>19</xdr:row>
      <xdr:rowOff>31156</xdr:rowOff>
    </xdr:to>
    <xdr:pic>
      <xdr:nvPicPr>
        <xdr:cNvPr id="5" name="Graphic 4" descr="Woman with solid fill">
          <a:extLst>
            <a:ext uri="{FF2B5EF4-FFF2-40B4-BE49-F238E27FC236}">
              <a16:creationId xmlns:a16="http://schemas.microsoft.com/office/drawing/2014/main" id="{65F71DCB-1620-4011-8A3D-4F60594C6BC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255555568" y="2800198"/>
          <a:ext cx="556712" cy="462655"/>
        </a:xfrm>
        <a:prstGeom prst="rect">
          <a:avLst/>
        </a:prstGeom>
      </xdr:spPr>
    </xdr:pic>
    <xdr:clientData/>
  </xdr:twoCellAnchor>
  <xdr:twoCellAnchor>
    <xdr:from>
      <xdr:col>5</xdr:col>
      <xdr:colOff>90489</xdr:colOff>
      <xdr:row>0</xdr:row>
      <xdr:rowOff>0</xdr:rowOff>
    </xdr:from>
    <xdr:to>
      <xdr:col>9</xdr:col>
      <xdr:colOff>619126</xdr:colOff>
      <xdr:row>14</xdr:row>
      <xdr:rowOff>109538</xdr:rowOff>
    </xdr:to>
    <xdr:graphicFrame macro="">
      <xdr:nvGraphicFramePr>
        <xdr:cNvPr id="6" name="Chart 5">
          <a:extLst>
            <a:ext uri="{FF2B5EF4-FFF2-40B4-BE49-F238E27FC236}">
              <a16:creationId xmlns:a16="http://schemas.microsoft.com/office/drawing/2014/main" id="{3F2DF4AC-51EF-4016-A5D3-F7C4AAF8E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535441</xdr:colOff>
      <xdr:row>5</xdr:row>
      <xdr:rowOff>6804</xdr:rowOff>
    </xdr:from>
    <xdr:to>
      <xdr:col>7</xdr:col>
      <xdr:colOff>619125</xdr:colOff>
      <xdr:row>9</xdr:row>
      <xdr:rowOff>156482</xdr:rowOff>
    </xdr:to>
    <xdr:sp macro="" textlink="'Kasra Pivot'!J6">
      <xdr:nvSpPr>
        <xdr:cNvPr id="8" name="TextBox 7">
          <a:extLst>
            <a:ext uri="{FF2B5EF4-FFF2-40B4-BE49-F238E27FC236}">
              <a16:creationId xmlns:a16="http://schemas.microsoft.com/office/drawing/2014/main" id="{B5D3AD82-36F3-752E-F24D-5CE82F22310F}"/>
            </a:ext>
          </a:extLst>
        </xdr:cNvPr>
        <xdr:cNvSpPr txBox="1"/>
      </xdr:nvSpPr>
      <xdr:spPr>
        <a:xfrm>
          <a:off x="11253011892" y="857251"/>
          <a:ext cx="770846" cy="83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ctr"/>
        <a:lstStyle/>
        <a:p>
          <a:pPr algn="ctr" rtl="1"/>
          <a:fld id="{0FBCF8BF-2483-4DFE-AD76-29ABF41CBF0C}" type="TxLink">
            <a:rPr lang="en-US" sz="2400" b="1" i="0" u="none" strike="noStrike">
              <a:solidFill>
                <a:schemeClr val="accent1">
                  <a:lumMod val="20000"/>
                  <a:lumOff val="80000"/>
                </a:schemeClr>
              </a:solidFill>
              <a:latin typeface="Arial"/>
              <a:cs typeface="Arial"/>
            </a:rPr>
            <a:pPr algn="ctr" rtl="1"/>
            <a:t>150</a:t>
          </a:fld>
          <a:endParaRPr lang="en-US" sz="2400" b="1">
            <a:solidFill>
              <a:schemeClr val="accent1">
                <a:lumMod val="20000"/>
                <a:lumOff val="80000"/>
              </a:schemeClr>
            </a:solidFill>
          </a:endParaRPr>
        </a:p>
      </xdr:txBody>
    </xdr:sp>
    <xdr:clientData/>
  </xdr:twoCellAnchor>
  <xdr:twoCellAnchor>
    <xdr:from>
      <xdr:col>5</xdr:col>
      <xdr:colOff>85725</xdr:colOff>
      <xdr:row>15</xdr:row>
      <xdr:rowOff>9526</xdr:rowOff>
    </xdr:from>
    <xdr:to>
      <xdr:col>9</xdr:col>
      <xdr:colOff>600075</xdr:colOff>
      <xdr:row>30</xdr:row>
      <xdr:rowOff>152400</xdr:rowOff>
    </xdr:to>
    <xdr:graphicFrame macro="">
      <xdr:nvGraphicFramePr>
        <xdr:cNvPr id="11" name="Chart 10">
          <a:extLst>
            <a:ext uri="{FF2B5EF4-FFF2-40B4-BE49-F238E27FC236}">
              <a16:creationId xmlns:a16="http://schemas.microsoft.com/office/drawing/2014/main" id="{CAD49212-EFE1-4E8D-AEA3-FB028CED3A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666750</xdr:colOff>
      <xdr:row>0</xdr:row>
      <xdr:rowOff>799</xdr:rowOff>
    </xdr:from>
    <xdr:to>
      <xdr:col>23</xdr:col>
      <xdr:colOff>392207</xdr:colOff>
      <xdr:row>30</xdr:row>
      <xdr:rowOff>173691</xdr:rowOff>
    </xdr:to>
    <xdr:graphicFrame macro="">
      <xdr:nvGraphicFramePr>
        <xdr:cNvPr id="12" name="Chart 11">
          <a:extLst>
            <a:ext uri="{FF2B5EF4-FFF2-40B4-BE49-F238E27FC236}">
              <a16:creationId xmlns:a16="http://schemas.microsoft.com/office/drawing/2014/main" id="{BD87FAD0-4AD6-4BEB-9FD0-D4E28F6357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10</xdr:col>
      <xdr:colOff>44824</xdr:colOff>
      <xdr:row>27</xdr:row>
      <xdr:rowOff>156883</xdr:rowOff>
    </xdr:from>
    <xdr:to>
      <xdr:col>23</xdr:col>
      <xdr:colOff>341780</xdr:colOff>
      <xdr:row>30</xdr:row>
      <xdr:rowOff>100213</xdr:rowOff>
    </xdr:to>
    <mc:AlternateContent xmlns:mc="http://schemas.openxmlformats.org/markup-compatibility/2006" xmlns:a14="http://schemas.microsoft.com/office/drawing/2010/main">
      <mc:Choice Requires="a14">
        <xdr:graphicFrame macro="">
          <xdr:nvGraphicFramePr>
            <xdr:cNvPr id="13" name="نام خانوادگی 2">
              <a:extLst>
                <a:ext uri="{FF2B5EF4-FFF2-40B4-BE49-F238E27FC236}">
                  <a16:creationId xmlns:a16="http://schemas.microsoft.com/office/drawing/2014/main" id="{4A631F32-F89D-4555-B90D-3B7006230F9F}"/>
                </a:ext>
              </a:extLst>
            </xdr:cNvPr>
            <xdr:cNvGraphicFramePr/>
          </xdr:nvGraphicFramePr>
          <xdr:xfrm>
            <a:off x="0" y="0"/>
            <a:ext cx="0" cy="0"/>
          </xdr:xfrm>
          <a:graphic>
            <a:graphicData uri="http://schemas.microsoft.com/office/drawing/2010/slicer">
              <sle:slicer xmlns:sle="http://schemas.microsoft.com/office/drawing/2010/slicer" name="نام خانوادگی 2"/>
            </a:graphicData>
          </a:graphic>
        </xdr:graphicFrame>
      </mc:Choice>
      <mc:Fallback xmlns="">
        <xdr:sp macro="" textlink="">
          <xdr:nvSpPr>
            <xdr:cNvPr id="0" name=""/>
            <xdr:cNvSpPr>
              <a:spLocks noTextEdit="1"/>
            </xdr:cNvSpPr>
          </xdr:nvSpPr>
          <xdr:spPr>
            <a:xfrm>
              <a:off x="11242294666" y="4749294"/>
              <a:ext cx="9230046" cy="453598"/>
            </a:xfrm>
            <a:prstGeom prst="rect">
              <a:avLst/>
            </a:prstGeom>
            <a:solidFill>
              <a:prstClr val="white"/>
            </a:solidFill>
            <a:ln w="1">
              <a:solidFill>
                <a:prstClr val="green"/>
              </a:solidFill>
            </a:ln>
          </xdr:spPr>
          <xdr:txBody>
            <a:bodyPr vertOverflow="clip" horzOverflow="clip"/>
            <a:lstStyle/>
            <a:p>
              <a:r>
                <a:rPr lang="fa-I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0.04663</cdr:x>
      <cdr:y>0.19265</cdr:y>
    </cdr:from>
    <cdr:to>
      <cdr:x>0.21581</cdr:x>
      <cdr:y>0.37861</cdr:y>
    </cdr:to>
    <cdr:pic>
      <cdr:nvPicPr>
        <cdr:cNvPr id="2" name="Graphic 3" descr="Man with solid fill">
          <a:extLst xmlns:a="http://schemas.openxmlformats.org/drawingml/2006/main">
            <a:ext uri="{FF2B5EF4-FFF2-40B4-BE49-F238E27FC236}">
              <a16:creationId xmlns:a16="http://schemas.microsoft.com/office/drawing/2014/main" id="{30848785-7518-406E-80A7-F1AC90FA829C}"/>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52812" y="479858"/>
          <a:ext cx="554450" cy="463187"/>
        </a:xfrm>
        <a:prstGeom xmlns:a="http://schemas.openxmlformats.org/drawingml/2006/main" prst="rect">
          <a:avLst/>
        </a:prstGeom>
      </cdr:spPr>
    </cdr:pic>
  </cdr:relSizeAnchor>
  <cdr:relSizeAnchor xmlns:cdr="http://schemas.openxmlformats.org/drawingml/2006/chartDrawing">
    <cdr:from>
      <cdr:x>0.85946</cdr:x>
      <cdr:y>0.16311</cdr:y>
    </cdr:from>
    <cdr:to>
      <cdr:x>1</cdr:x>
      <cdr:y>0.34907</cdr:y>
    </cdr:to>
    <cdr:pic>
      <cdr:nvPicPr>
        <cdr:cNvPr id="3" name="Graphic 4" descr="Woman with solid fill">
          <a:extLst xmlns:a="http://schemas.openxmlformats.org/drawingml/2006/main">
            <a:ext uri="{FF2B5EF4-FFF2-40B4-BE49-F238E27FC236}">
              <a16:creationId xmlns:a16="http://schemas.microsoft.com/office/drawing/2014/main" id="{65F71DCB-1620-4011-8A3D-4F60594C6BC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xmlns:a="http://schemas.openxmlformats.org/drawingml/2006/main">
          <a:fillRect/>
        </a:stretch>
      </cdr:blipFill>
      <cdr:spPr>
        <a:xfrm xmlns:a="http://schemas.openxmlformats.org/drawingml/2006/main">
          <a:off x="2816680" y="406278"/>
          <a:ext cx="460600" cy="463187"/>
        </a:xfrm>
        <a:prstGeom xmlns:a="http://schemas.openxmlformats.org/drawingml/2006/main" prst="rect">
          <a:avLst/>
        </a:prstGeom>
      </cdr:spPr>
    </cdr:pic>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800.589740162039" createdVersion="8" refreshedVersion="8" minRefreshableVersion="3" recordCount="150" xr:uid="{29E878EF-E214-46DB-A831-F95EBDBC1038}">
  <cacheSource type="worksheet">
    <worksheetSource name="Table1"/>
  </cacheSource>
  <cacheFields count="14">
    <cacheField name="ردیف" numFmtId="0">
      <sharedItems containsSemiMixedTypes="0" containsString="0" containsNumber="1" containsInteger="1" minValue="1" maxValue="150"/>
    </cacheField>
    <cacheField name="شماره پرسنلی" numFmtId="0">
      <sharedItems containsSemiMixedTypes="0" containsString="0" containsNumber="1" containsInteger="1" minValue="250001" maxValue="250150"/>
    </cacheField>
    <cacheField name="سمت" numFmtId="0">
      <sharedItems/>
    </cacheField>
    <cacheField name="نوع قرارداد" numFmtId="0">
      <sharedItems count="2">
        <s v="پاره وقت"/>
        <s v="تمام وقت"/>
      </sharedItems>
    </cacheField>
    <cacheField name="نوع فعالیت" numFmtId="0">
      <sharedItems/>
    </cacheField>
    <cacheField name="نام " numFmtId="0">
      <sharedItems/>
    </cacheField>
    <cacheField name="نام خانوادگی" numFmtId="0">
      <sharedItems/>
    </cacheField>
    <cacheField name="کد ملی" numFmtId="0">
      <sharedItems containsSemiMixedTypes="0" containsString="0" containsNumber="1" containsInteger="1" minValue="1006943608" maxValue="8952591998" count="150">
        <n v="3978923340"/>
        <n v="2338070476"/>
        <n v="1080250485"/>
        <n v="1409964681"/>
        <n v="3802161919"/>
        <n v="8717074791"/>
        <n v="8656680324"/>
        <n v="7665400285"/>
        <n v="4805006844"/>
        <n v="3822698823"/>
        <n v="2164182890"/>
        <n v="1877743971"/>
        <n v="2694674698"/>
        <n v="2988987112"/>
        <n v="5556073149"/>
        <n v="8821440797"/>
        <n v="2816972594"/>
        <n v="1660204868"/>
        <n v="3837220718"/>
        <n v="5369227495"/>
        <n v="5344087639"/>
        <n v="1076026071"/>
        <n v="4697232598"/>
        <n v="7661483180"/>
        <n v="4367430246"/>
        <n v="4980048128"/>
        <n v="7987368669"/>
        <n v="3739681473"/>
        <n v="7768102629"/>
        <n v="5045757975"/>
        <n v="6813978606"/>
        <n v="4211846510"/>
        <n v="3459414538"/>
        <n v="4635148317"/>
        <n v="5748240524"/>
        <n v="7145326774"/>
        <n v="8708038660"/>
        <n v="8452974527"/>
        <n v="5105665817"/>
        <n v="6621827760"/>
        <n v="5429904433"/>
        <n v="5144982349"/>
        <n v="4845874924"/>
        <n v="2300353744"/>
        <n v="2920622772"/>
        <n v="6045588783"/>
        <n v="1736401408"/>
        <n v="7924181687"/>
        <n v="7976294878"/>
        <n v="4086844524"/>
        <n v="6908104040"/>
        <n v="5138316282"/>
        <n v="3227792324"/>
        <n v="6234702910"/>
        <n v="4509510606"/>
        <n v="4530449341"/>
        <n v="4908073247"/>
        <n v="2194834810"/>
        <n v="6291163810"/>
        <n v="1006943608"/>
        <n v="6148640960"/>
        <n v="3740800921"/>
        <n v="4848485021"/>
        <n v="4461702040"/>
        <n v="3812865725"/>
        <n v="3686609258"/>
        <n v="6649363744"/>
        <n v="2542371975"/>
        <n v="7220507006"/>
        <n v="5419041790"/>
        <n v="1340517288"/>
        <n v="6340545330"/>
        <n v="2597134502"/>
        <n v="8917605969"/>
        <n v="6147829593"/>
        <n v="2257575105"/>
        <n v="7862009339"/>
        <n v="3738620808"/>
        <n v="4889683881"/>
        <n v="4810573382"/>
        <n v="8360079787"/>
        <n v="6454950198"/>
        <n v="4784674297"/>
        <n v="5395128490"/>
        <n v="3462876458"/>
        <n v="7237658442"/>
        <n v="2517897404"/>
        <n v="1167741980"/>
        <n v="7757104410"/>
        <n v="1517934399"/>
        <n v="3795588215"/>
        <n v="3109274378"/>
        <n v="8294580564"/>
        <n v="4322980415"/>
        <n v="5451534264"/>
        <n v="8792568894"/>
        <n v="1716467538"/>
        <n v="4988483711"/>
        <n v="3020003212"/>
        <n v="1980921210"/>
        <n v="4695648292"/>
        <n v="3985828964"/>
        <n v="2729828041"/>
        <n v="2974626913"/>
        <n v="1687713701"/>
        <n v="7025380723"/>
        <n v="5345416983"/>
        <n v="7422621716"/>
        <n v="6126711587"/>
        <n v="1607372199"/>
        <n v="5956203554"/>
        <n v="3290482787"/>
        <n v="8673398315"/>
        <n v="5720445250"/>
        <n v="2784756153"/>
        <n v="4254226134"/>
        <n v="5191216491"/>
        <n v="7785830549"/>
        <n v="1361740430"/>
        <n v="3607853470"/>
        <n v="7525253078"/>
        <n v="1506035831"/>
        <n v="5818984589"/>
        <n v="2220697037"/>
        <n v="2916284623"/>
        <n v="8603425589"/>
        <n v="2533975453"/>
        <n v="6884755966"/>
        <n v="3898199365"/>
        <n v="7716726043"/>
        <n v="4327376529"/>
        <n v="6911919757"/>
        <n v="8677834606"/>
        <n v="3114310313"/>
        <n v="3494212446"/>
        <n v="6746402937"/>
        <n v="6524429543"/>
        <n v="1936145256"/>
        <n v="5704429339"/>
        <n v="8952591998"/>
        <n v="1349598408"/>
        <n v="4217183630"/>
        <n v="3424116081"/>
        <n v="2136619116"/>
        <n v="2547430112"/>
        <n v="1760393322"/>
        <n v="2433075669"/>
        <n v="5018163386"/>
        <n v="6337987870"/>
        <n v="8836937488"/>
      </sharedItems>
    </cacheField>
    <cacheField name="نام پدر" numFmtId="0">
      <sharedItems/>
    </cacheField>
    <cacheField name="تاریخ تولد" numFmtId="0">
      <sharedItems/>
    </cacheField>
    <cacheField name="ماه تولد" numFmtId="0">
      <sharedItems/>
    </cacheField>
    <cacheField name="سال تولد" numFmtId="0">
      <sharedItems/>
    </cacheField>
    <cacheField name="جنسیت" numFmtId="0">
      <sharedItems count="2">
        <s v="مرد"/>
        <s v="زن"/>
      </sharedItems>
    </cacheField>
    <cacheField name="مدرک تحصیلی" numFmtId="0">
      <sharedItems count="7">
        <s v="دیپلم"/>
        <s v="کارشناسی"/>
        <s v="کاردانی"/>
        <s v="کارشناسی ارشد"/>
        <s v="زیر دیپلم"/>
        <s v="دکترا"/>
        <s v="ناقص" u="1"/>
      </sharedItems>
    </cacheField>
  </cacheFields>
  <extLst>
    <ext xmlns:x14="http://schemas.microsoft.com/office/spreadsheetml/2009/9/main" uri="{725AE2AE-9491-48be-B2B4-4EB974FC3084}">
      <x14:pivotCacheDefinition pivotCacheId="27948327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800.5897625" createdVersion="8" refreshedVersion="8" minRefreshableVersion="3" recordCount="84" xr:uid="{C562A516-326F-4800-B21B-532726B11F16}">
  <cacheSource type="worksheet">
    <worksheetSource name="Table2"/>
  </cacheSource>
  <cacheFields count="11">
    <cacheField name="ردیف" numFmtId="0">
      <sharedItems containsSemiMixedTypes="0" containsString="0" containsNumber="1" containsInteger="1" minValue="1" maxValue="84"/>
    </cacheField>
    <cacheField name="جهت سورت ماه" numFmtId="0">
      <sharedItems containsSemiMixedTypes="0" containsString="0" containsNumber="1" containsInteger="1" minValue="1" maxValue="12"/>
    </cacheField>
    <cacheField name="ماه" numFmtId="0">
      <sharedItems count="24">
        <s v="فروردین"/>
        <s v="اردیبهشت"/>
        <s v="خرداد"/>
        <s v="تیر"/>
        <s v="مرداد"/>
        <s v="شهریور"/>
        <s v="مهر"/>
        <s v="آبان"/>
        <s v="آذر"/>
        <s v="دی"/>
        <s v="بهمن"/>
        <s v="اسفند"/>
        <s v="آذر 1401" u="1"/>
        <s v="شهریور 1401" u="1"/>
        <s v="آبان 1401" u="1"/>
        <s v="اسفند 1401" u="1"/>
        <s v="فروردین 1401" u="1"/>
        <s v="مرداد 1401" u="1"/>
        <s v="دی 1401" u="1"/>
        <s v="اردیبهشت 1401" u="1"/>
        <s v="بهمن 1401" u="1"/>
        <s v="خرداد 1401" u="1"/>
        <s v="تیر 1401" u="1"/>
        <s v="مهر 1401" u="1"/>
      </sharedItems>
    </cacheField>
    <cacheField name="فصل" numFmtId="0">
      <sharedItems count="4">
        <s v="بهار"/>
        <s v="تابستان"/>
        <s v="پاییز"/>
        <s v="زمستان"/>
      </sharedItems>
    </cacheField>
    <cacheField name="شماره پرسنلی" numFmtId="0">
      <sharedItems containsSemiMixedTypes="0" containsString="0" containsNumber="1" containsInteger="1" minValue="250001" maxValue="250023"/>
    </cacheField>
    <cacheField name="نام " numFmtId="0">
      <sharedItems/>
    </cacheField>
    <cacheField name="نام خانوادگی" numFmtId="0">
      <sharedItems count="7">
        <s v="یوسفی نژاد"/>
        <s v="یوسفی"/>
        <s v="یگانه فر"/>
        <s v="یزدانیان"/>
        <s v="نیک اندیش"/>
        <s v="نعمتی جرتوده"/>
        <s v="نعمتی"/>
      </sharedItems>
    </cacheField>
    <cacheField name="ترکیب نام و نام خانوادگی" numFmtId="0">
      <sharedItems count="7">
        <s v="ابوالفضل یوسفی نژاد"/>
        <s v="ابوالفضل یوسفی"/>
        <s v="احسان یگانه فر"/>
        <s v="احمد یزدانیان"/>
        <s v="الهام نیک اندیش"/>
        <s v="امیر حسین نعمتی جرتوده"/>
        <s v="امیر محمد نعمتی"/>
      </sharedItems>
    </cacheField>
    <cacheField name="مبلغ (ریال)" numFmtId="3">
      <sharedItems containsSemiMixedTypes="0" containsString="0" containsNumber="1" containsInteger="1" minValue="21620000000" maxValue="540000000000" count="81">
        <n v="58990000000"/>
        <n v="42500000000"/>
        <n v="67500000000"/>
        <n v="56550000000"/>
        <n v="432000000000"/>
        <n v="217980000000"/>
        <n v="185000000000"/>
        <n v="39500000000"/>
        <n v="48630000000"/>
        <n v="42410000000"/>
        <n v="540000000000"/>
        <n v="185310000000"/>
        <n v="192500000000"/>
        <n v="34260000000"/>
        <n v="32660000000"/>
        <n v="38280000000"/>
        <n v="515000000000"/>
        <n v="163490000000"/>
        <n v="169380000000"/>
        <n v="40630000000"/>
        <n v="37420000000"/>
        <n v="42980000000"/>
        <n v="28080000000"/>
        <n v="301550000000"/>
        <n v="150540000000"/>
        <n v="211030000000"/>
        <n v="24880000000"/>
        <n v="47050000000"/>
        <n v="32150000000"/>
        <n v="25920000000"/>
        <n v="372340000000"/>
        <n v="204670000000"/>
        <n v="229220000000"/>
        <n v="30770000000"/>
        <n v="51230000000"/>
        <n v="23140000000"/>
        <n v="61880000000"/>
        <n v="426630000000"/>
        <n v="172330000000"/>
        <n v="312180000000"/>
        <n v="33970000000"/>
        <n v="48590000000"/>
        <n v="29850000000"/>
        <n v="430580000000"/>
        <n v="139520000000"/>
        <n v="138730000000"/>
        <n v="46300000000"/>
        <n v="29030000000"/>
        <n v="21620000000"/>
        <n v="59070000000"/>
        <n v="502160000000"/>
        <n v="220640000000"/>
        <n v="235500000000"/>
        <n v="25820000000"/>
        <n v="33680000000"/>
        <n v="47880000000"/>
        <n v="44060000000"/>
        <n v="470770000000"/>
        <n v="323190000000"/>
        <n v="190520000000"/>
        <n v="41340000000"/>
        <n v="23510000000"/>
        <n v="28400000000"/>
        <n v="42270000000"/>
        <n v="334580000000"/>
        <n v="319500000000"/>
        <n v="204450000000"/>
        <n v="26040000000"/>
        <n v="52210000000"/>
        <n v="33550000000"/>
        <n v="35960000000"/>
        <n v="301260000000"/>
        <n v="239770000000"/>
        <n v="241400000000"/>
        <n v="31130000000"/>
        <n v="38213000000"/>
        <n v="42050000000"/>
        <n v="55980000000"/>
        <n v="420350000000"/>
        <n v="195590000000"/>
        <n v="231150000000"/>
      </sharedItems>
    </cacheField>
    <cacheField name="درصد فروشنده" numFmtId="10">
      <sharedItems containsSemiMixedTypes="0" containsString="0" containsNumber="1" minValue="1.4E-3" maxValue="6.1000000000000004E-3"/>
    </cacheField>
    <cacheField name="پاداش فروشنده" numFmtId="3">
      <sharedItems containsSemiMixedTypes="0" containsString="0" containsNumber="1" minValue="105938000" maxValue="756000000"/>
    </cacheField>
  </cacheFields>
  <extLst>
    <ext xmlns:x14="http://schemas.microsoft.com/office/spreadsheetml/2009/9/main" uri="{725AE2AE-9491-48be-B2B4-4EB974FC3084}">
      <x14:pivotCacheDefinition pivotCacheId="240870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
  <r>
    <n v="1"/>
    <n v="250001"/>
    <s v="کارشناس"/>
    <x v="0"/>
    <s v="فروش"/>
    <s v="ابوالفضل"/>
    <s v="یوسفی نژاد"/>
    <x v="0"/>
    <s v="عباس"/>
    <s v="1377/04/17"/>
    <s v="04"/>
    <s v="04"/>
    <x v="0"/>
    <x v="0"/>
  </r>
  <r>
    <n v="2"/>
    <n v="250002"/>
    <s v="کارشناس"/>
    <x v="1"/>
    <s v="فروش"/>
    <s v="ابوالفضل"/>
    <s v="یوسفی"/>
    <x v="1"/>
    <s v="علی اکبر"/>
    <s v="1369/05/08"/>
    <s v="05"/>
    <s v="05"/>
    <x v="0"/>
    <x v="1"/>
  </r>
  <r>
    <n v="3"/>
    <n v="250003"/>
    <s v="کارشناس"/>
    <x v="1"/>
    <s v="فروش"/>
    <s v="احسان"/>
    <s v="یگانه فر"/>
    <x v="2"/>
    <s v="رضا"/>
    <s v="1367/03/01"/>
    <s v="03"/>
    <s v="03"/>
    <x v="0"/>
    <x v="1"/>
  </r>
  <r>
    <n v="4"/>
    <n v="250004"/>
    <s v="کارشناس"/>
    <x v="1"/>
    <s v="فروش"/>
    <s v="احمد"/>
    <s v="یزدانیان"/>
    <x v="3"/>
    <s v="مهدی"/>
    <s v="1357/09/19"/>
    <s v="09"/>
    <s v="09"/>
    <x v="0"/>
    <x v="0"/>
  </r>
  <r>
    <n v="5"/>
    <n v="250005"/>
    <s v="کارشناس"/>
    <x v="1"/>
    <s v="حسابداری"/>
    <s v="احمد"/>
    <s v="یزدانپناه"/>
    <x v="4"/>
    <s v="طاهر"/>
    <s v="1372/01/13"/>
    <s v="01"/>
    <s v="01"/>
    <x v="0"/>
    <x v="0"/>
  </r>
  <r>
    <n v="6"/>
    <n v="250006"/>
    <s v="کارشناس"/>
    <x v="1"/>
    <s v="حسابداری"/>
    <s v="اسماعیل"/>
    <s v="یاقوت فام"/>
    <x v="5"/>
    <s v="قربانعلی"/>
    <s v="1356/07/01"/>
    <s v="07"/>
    <s v="07"/>
    <x v="0"/>
    <x v="0"/>
  </r>
  <r>
    <n v="7"/>
    <n v="250007"/>
    <s v="کارشناس"/>
    <x v="1"/>
    <s v="حسابداری"/>
    <s v="افسانه"/>
    <s v="وهابی"/>
    <x v="6"/>
    <s v="علی"/>
    <s v="1357/05/01"/>
    <s v="05"/>
    <s v="05"/>
    <x v="1"/>
    <x v="0"/>
  </r>
  <r>
    <n v="8"/>
    <n v="250008"/>
    <s v="کارشناس"/>
    <x v="1"/>
    <s v="حسابداری"/>
    <s v="افشین"/>
    <s v="وکیلی"/>
    <x v="7"/>
    <s v="سعید اله"/>
    <s v="1355/06/02"/>
    <s v="06"/>
    <s v="06"/>
    <x v="0"/>
    <x v="0"/>
  </r>
  <r>
    <n v="9"/>
    <n v="250009"/>
    <s v="کارشناس"/>
    <x v="1"/>
    <s v="فنی"/>
    <s v="الناز"/>
    <s v="واعظی"/>
    <x v="8"/>
    <s v="غلامحسین"/>
    <s v="1370/10/04"/>
    <s v="10"/>
    <s v="10"/>
    <x v="1"/>
    <x v="2"/>
  </r>
  <r>
    <n v="10"/>
    <n v="250010"/>
    <s v="کارشناس"/>
    <x v="0"/>
    <s v="فنی"/>
    <s v="اله یار"/>
    <s v="واعظی"/>
    <x v="9"/>
    <s v="علی"/>
    <s v="1368/01/09"/>
    <s v="01"/>
    <s v="01"/>
    <x v="0"/>
    <x v="1"/>
  </r>
  <r>
    <n v="11"/>
    <n v="250011"/>
    <s v="مدیر"/>
    <x v="0"/>
    <s v="فنی"/>
    <s v="الهام"/>
    <s v="وارسته"/>
    <x v="10"/>
    <s v="حمید"/>
    <s v="1366/06/31"/>
    <s v="06"/>
    <s v="06"/>
    <x v="1"/>
    <x v="1"/>
  </r>
  <r>
    <n v="12"/>
    <n v="250012"/>
    <s v="مدیر"/>
    <x v="1"/>
    <s v="فنی"/>
    <s v="الهام"/>
    <s v="هزاوه"/>
    <x v="11"/>
    <s v="یادگار"/>
    <s v="1372/08/14"/>
    <s v="08"/>
    <s v="08"/>
    <x v="1"/>
    <x v="0"/>
  </r>
  <r>
    <n v="13"/>
    <n v="250013"/>
    <s v="مدیر"/>
    <x v="1"/>
    <s v="فنی"/>
    <s v="الهام"/>
    <s v="هداوند"/>
    <x v="12"/>
    <s v="میر"/>
    <s v="1367/06/15"/>
    <s v="06"/>
    <s v="06"/>
    <x v="1"/>
    <x v="1"/>
  </r>
  <r>
    <n v="14"/>
    <n v="250014"/>
    <s v="مدیر"/>
    <x v="1"/>
    <s v="فروش"/>
    <s v="الهام"/>
    <s v="نیک اندیش"/>
    <x v="13"/>
    <s v="محمد"/>
    <s v="1366/11/28"/>
    <s v="11"/>
    <s v="11"/>
    <x v="1"/>
    <x v="2"/>
  </r>
  <r>
    <n v="15"/>
    <n v="250015"/>
    <s v="مدیر"/>
    <x v="1"/>
    <s v="حسابداری"/>
    <s v="الهام"/>
    <s v="نویدمقدم"/>
    <x v="14"/>
    <s v="علی"/>
    <s v="1375/05/15"/>
    <s v="05"/>
    <s v="05"/>
    <x v="1"/>
    <x v="1"/>
  </r>
  <r>
    <n v="16"/>
    <n v="250016"/>
    <s v="کارشناس ارشد"/>
    <x v="0"/>
    <s v="حسابداری"/>
    <s v="الهه"/>
    <s v="نوروزی پسند"/>
    <x v="15"/>
    <s v="هوشنگ"/>
    <s v="1360/06/20"/>
    <s v="06"/>
    <s v="06"/>
    <x v="1"/>
    <x v="0"/>
  </r>
  <r>
    <n v="17"/>
    <n v="250017"/>
    <s v="کارشناس ارشد"/>
    <x v="0"/>
    <s v="حسابداری"/>
    <s v="امید"/>
    <s v="نوروزی"/>
    <x v="16"/>
    <s v="خدارحیم"/>
    <s v="1356/06/30"/>
    <s v="06"/>
    <s v="06"/>
    <x v="0"/>
    <x v="1"/>
  </r>
  <r>
    <n v="18"/>
    <n v="250018"/>
    <s v="کارشناس ارشد"/>
    <x v="0"/>
    <s v="حسابداری"/>
    <s v="امید"/>
    <s v="نورانی داباد"/>
    <x v="17"/>
    <s v="بهرام"/>
    <s v="1371/04/19"/>
    <s v="04"/>
    <s v="04"/>
    <x v="0"/>
    <x v="0"/>
  </r>
  <r>
    <n v="19"/>
    <n v="250019"/>
    <s v="کارشناس ارشد"/>
    <x v="1"/>
    <s v="فنی"/>
    <s v="امیر"/>
    <s v="نور محمدی فرد"/>
    <x v="18"/>
    <s v="کرم اله"/>
    <s v="1366/02/17"/>
    <s v="02"/>
    <s v="02"/>
    <x v="0"/>
    <x v="2"/>
  </r>
  <r>
    <n v="20"/>
    <n v="250020"/>
    <s v="کارشناس ارشد"/>
    <x v="0"/>
    <s v="فنی"/>
    <s v="امیر"/>
    <s v="نمدی"/>
    <x v="19"/>
    <s v="محسن"/>
    <s v="1362/06/31"/>
    <s v="06"/>
    <s v="06"/>
    <x v="0"/>
    <x v="0"/>
  </r>
  <r>
    <n v="21"/>
    <n v="250021"/>
    <s v="کارشناس ارشد"/>
    <x v="1"/>
    <s v="فنی"/>
    <s v="امیر حسن"/>
    <s v="نفری"/>
    <x v="20"/>
    <s v="ایرج"/>
    <s v="1369/06/30"/>
    <s v="06"/>
    <s v="06"/>
    <x v="0"/>
    <x v="1"/>
  </r>
  <r>
    <n v="22"/>
    <n v="250022"/>
    <s v="کارشناس ارشد"/>
    <x v="1"/>
    <s v="فروش"/>
    <s v="امیر حسین"/>
    <s v="نعمتی جرتوده"/>
    <x v="21"/>
    <s v="هادی"/>
    <s v="1369/08/13"/>
    <s v="08"/>
    <s v="08"/>
    <x v="0"/>
    <x v="1"/>
  </r>
  <r>
    <n v="23"/>
    <n v="250023"/>
    <s v="کارشناس ارشد"/>
    <x v="1"/>
    <s v="فروش"/>
    <s v="امیر محمد"/>
    <s v="نعمتی"/>
    <x v="22"/>
    <s v="یداله"/>
    <s v="1373/06/28"/>
    <s v="06"/>
    <s v="06"/>
    <x v="0"/>
    <x v="2"/>
  </r>
  <r>
    <n v="24"/>
    <n v="250024"/>
    <s v="انبار دار"/>
    <x v="1"/>
    <s v="انباردار"/>
    <s v="امین"/>
    <s v="نصری"/>
    <x v="23"/>
    <s v="مصطفی"/>
    <s v="1362/06/04"/>
    <s v="06"/>
    <s v="06"/>
    <x v="0"/>
    <x v="1"/>
  </r>
  <r>
    <n v="25"/>
    <n v="250025"/>
    <s v="انبار دار"/>
    <x v="1"/>
    <s v="انباردار"/>
    <s v="امین"/>
    <s v="نصری"/>
    <x v="24"/>
    <s v="علی محمد"/>
    <s v="1351/05/24"/>
    <s v="05"/>
    <s v="05"/>
    <x v="0"/>
    <x v="1"/>
  </r>
  <r>
    <n v="26"/>
    <n v="250026"/>
    <s v="انبار دار"/>
    <x v="1"/>
    <s v="انباردار"/>
    <s v="انسیه"/>
    <s v="نسرین پور"/>
    <x v="25"/>
    <s v="اردشیر"/>
    <s v="1369/10/02"/>
    <s v="10"/>
    <s v="10"/>
    <x v="1"/>
    <x v="1"/>
  </r>
  <r>
    <n v="27"/>
    <n v="250027"/>
    <s v="انبار دار"/>
    <x v="1"/>
    <s v="انباردار"/>
    <s v="آتنا"/>
    <s v="نجفی"/>
    <x v="26"/>
    <s v="صیدعلی"/>
    <s v="1374/06/05"/>
    <s v="06"/>
    <s v="06"/>
    <x v="1"/>
    <x v="1"/>
  </r>
  <r>
    <n v="28"/>
    <n v="250028"/>
    <s v="کمک انبار دار"/>
    <x v="1"/>
    <s v="انباردار"/>
    <s v="آرش"/>
    <s v="میرصانع"/>
    <x v="27"/>
    <s v="مهرداد"/>
    <s v="1366/03/14"/>
    <s v="03"/>
    <s v="03"/>
    <x v="0"/>
    <x v="0"/>
  </r>
  <r>
    <n v="29"/>
    <n v="250029"/>
    <s v="کمک انبار دار"/>
    <x v="1"/>
    <s v="انباردار"/>
    <s v="آرش"/>
    <s v="میراخوری"/>
    <x v="28"/>
    <s v="عبدالخالق"/>
    <s v="1366/06/28"/>
    <s v="06"/>
    <s v="06"/>
    <x v="0"/>
    <x v="2"/>
  </r>
  <r>
    <n v="30"/>
    <n v="250030"/>
    <s v="کمک انبار دار"/>
    <x v="1"/>
    <s v="انباردار"/>
    <s v="آرمن"/>
    <s v="موسیوند"/>
    <x v="29"/>
    <s v="حاتم"/>
    <s v="1366/06/30"/>
    <s v="06"/>
    <s v="06"/>
    <x v="0"/>
    <x v="1"/>
  </r>
  <r>
    <n v="31"/>
    <n v="250031"/>
    <s v="کمک انبار دار"/>
    <x v="1"/>
    <s v="انباردار"/>
    <s v="آسیه"/>
    <s v="موسی پورلارتی"/>
    <x v="30"/>
    <s v="مطلب"/>
    <s v="1369/09/01"/>
    <s v="09"/>
    <s v="09"/>
    <x v="1"/>
    <x v="2"/>
  </r>
  <r>
    <n v="32"/>
    <n v="250032"/>
    <s v="کمک انبار دار"/>
    <x v="1"/>
    <s v="انباردار"/>
    <s v="آناهیتا"/>
    <s v="مهدی زاده"/>
    <x v="31"/>
    <s v="ابراهیم"/>
    <s v="1365/02/14"/>
    <s v="02"/>
    <s v="02"/>
    <x v="0"/>
    <x v="1"/>
  </r>
  <r>
    <n v="33"/>
    <n v="250033"/>
    <s v="کمک انبار دار"/>
    <x v="1"/>
    <s v="انباردار"/>
    <s v="آنیا"/>
    <s v="منوچهری دولابی"/>
    <x v="32"/>
    <s v="سعید"/>
    <s v="1363/06/25"/>
    <s v="06"/>
    <s v="06"/>
    <x v="1"/>
    <x v="1"/>
  </r>
  <r>
    <n v="34"/>
    <n v="250034"/>
    <s v="کمک انبار دار"/>
    <x v="1"/>
    <s v="انباردار"/>
    <s v="آیدا"/>
    <s v="منظمی"/>
    <x v="33"/>
    <s v="علی اکبر"/>
    <s v="1363/06/04"/>
    <s v="06"/>
    <s v="06"/>
    <x v="1"/>
    <x v="3"/>
  </r>
  <r>
    <n v="35"/>
    <n v="250035"/>
    <s v="کمک انبار دار"/>
    <x v="1"/>
    <s v="انباردار"/>
    <s v="بتول"/>
    <s v="ملکی"/>
    <x v="34"/>
    <s v="حسین"/>
    <s v="1359/05/20"/>
    <s v="05"/>
    <s v="05"/>
    <x v="1"/>
    <x v="0"/>
  </r>
  <r>
    <n v="36"/>
    <n v="250036"/>
    <s v="راننده لیفتراک"/>
    <x v="1"/>
    <s v="راننده"/>
    <s v="بشری"/>
    <s v="ملکان"/>
    <x v="35"/>
    <s v="محمد"/>
    <s v="1398/10/23"/>
    <s v="10"/>
    <s v="10"/>
    <x v="1"/>
    <x v="1"/>
  </r>
  <r>
    <n v="37"/>
    <n v="250037"/>
    <s v="تعمیرکار"/>
    <x v="1"/>
    <s v="فنی"/>
    <s v="بهاره"/>
    <s v="مکی نیری"/>
    <x v="36"/>
    <s v="داریوش"/>
    <s v="1356/06/15"/>
    <s v="06"/>
    <s v="06"/>
    <x v="1"/>
    <x v="1"/>
  </r>
  <r>
    <n v="38"/>
    <n v="250038"/>
    <s v="راننده لیفتراک"/>
    <x v="1"/>
    <s v="راننده"/>
    <s v="بهاره"/>
    <s v="مقصودی پور"/>
    <x v="37"/>
    <s v="رحمت اله"/>
    <s v="1371/05/18"/>
    <s v="05"/>
    <s v="05"/>
    <x v="1"/>
    <x v="1"/>
  </r>
  <r>
    <n v="39"/>
    <n v="250039"/>
    <s v="تعمیرکار"/>
    <x v="1"/>
    <s v="فنی"/>
    <s v="بهروز"/>
    <s v="مقدسی"/>
    <x v="38"/>
    <s v="علی اشرف"/>
    <s v="1362/10/08"/>
    <s v="10"/>
    <s v="10"/>
    <x v="0"/>
    <x v="2"/>
  </r>
  <r>
    <n v="40"/>
    <n v="250040"/>
    <s v="کارگر ساده"/>
    <x v="1"/>
    <s v="کارگر ساده"/>
    <s v="بهروز"/>
    <s v="معلمی"/>
    <x v="39"/>
    <s v="احمدعلی "/>
    <s v="1370/06/24"/>
    <s v="06"/>
    <s v="06"/>
    <x v="0"/>
    <x v="0"/>
  </r>
  <r>
    <n v="41"/>
    <n v="250041"/>
    <s v="کارگر ساده"/>
    <x v="1"/>
    <s v="کارگر ساده"/>
    <s v="بهزاد"/>
    <s v="مروتی"/>
    <x v="40"/>
    <s v="اسرافیل"/>
    <s v="1369/12/18"/>
    <s v="12"/>
    <s v="12"/>
    <x v="0"/>
    <x v="1"/>
  </r>
  <r>
    <n v="42"/>
    <n v="250042"/>
    <s v="کارگر ساده"/>
    <x v="1"/>
    <s v="کارگر ساده"/>
    <s v="بهناز"/>
    <s v="مرادی"/>
    <x v="41"/>
    <s v="ماشالله"/>
    <s v="1362/04/01"/>
    <s v="04"/>
    <s v="04"/>
    <x v="1"/>
    <x v="2"/>
  </r>
  <r>
    <n v="43"/>
    <n v="250043"/>
    <s v="کارگر ساده"/>
    <x v="1"/>
    <s v="کارگر ساده"/>
    <s v="بهنام"/>
    <s v="محمدی طهرانی"/>
    <x v="42"/>
    <s v="بهلول"/>
    <s v="1354/01/02"/>
    <s v="01"/>
    <s v="01"/>
    <x v="0"/>
    <x v="0"/>
  </r>
  <r>
    <n v="44"/>
    <n v="250044"/>
    <s v="کارگر ساده"/>
    <x v="1"/>
    <s v="کارگر ساده"/>
    <s v="بهنام"/>
    <s v="محمدی جلده باخانی"/>
    <x v="43"/>
    <s v="محمدعلی"/>
    <s v="1373/05/29"/>
    <s v="05"/>
    <s v="05"/>
    <x v="0"/>
    <x v="0"/>
  </r>
  <r>
    <n v="45"/>
    <n v="250045"/>
    <s v="کارگر ساده"/>
    <x v="1"/>
    <s v="کارگر ساده"/>
    <s v="بهنام"/>
    <s v="محمدی"/>
    <x v="44"/>
    <s v="عبدالحسین"/>
    <s v="1368/01/26"/>
    <s v="01"/>
    <s v="01"/>
    <x v="0"/>
    <x v="3"/>
  </r>
  <r>
    <n v="46"/>
    <n v="250046"/>
    <s v="کارگر ساده"/>
    <x v="1"/>
    <s v="کارگر ساده"/>
    <s v="پروانه"/>
    <s v="محمدی"/>
    <x v="45"/>
    <s v="حیبیب اله"/>
    <s v="1368/01/01"/>
    <s v="01"/>
    <s v="01"/>
    <x v="1"/>
    <x v="2"/>
  </r>
  <r>
    <n v="47"/>
    <n v="250047"/>
    <s v="کارگر ساده"/>
    <x v="1"/>
    <s v="کارگر ساده"/>
    <s v="پیمان"/>
    <s v="محمدی"/>
    <x v="46"/>
    <s v="رضا"/>
    <s v="1368/03/18"/>
    <s v="03"/>
    <s v="03"/>
    <x v="0"/>
    <x v="0"/>
  </r>
  <r>
    <n v="48"/>
    <n v="250048"/>
    <s v="کارگر ساده"/>
    <x v="1"/>
    <s v="کارگر ساده"/>
    <s v="تقی"/>
    <s v="محمدی"/>
    <x v="47"/>
    <s v="رمضانعلی"/>
    <s v="1368/04/01"/>
    <s v="04"/>
    <s v="04"/>
    <x v="0"/>
    <x v="2"/>
  </r>
  <r>
    <n v="49"/>
    <n v="250049"/>
    <s v="کارگر ساده"/>
    <x v="1"/>
    <s v="کارگر ساده"/>
    <s v="ثنا سادات"/>
    <s v="محبی آبکنار"/>
    <x v="48"/>
    <s v="عبدالمجید"/>
    <s v="1368/05/05"/>
    <s v="05"/>
    <s v="05"/>
    <x v="1"/>
    <x v="2"/>
  </r>
  <r>
    <n v="50"/>
    <n v="250050"/>
    <s v="کارگر ساده"/>
    <x v="1"/>
    <s v="کارگر ساده"/>
    <s v="جلال"/>
    <s v="مالکی"/>
    <x v="49"/>
    <s v="یوسف"/>
    <s v="1368/06/15"/>
    <s v="06"/>
    <s v="06"/>
    <x v="0"/>
    <x v="0"/>
  </r>
  <r>
    <n v="51"/>
    <n v="250051"/>
    <s v="کارشناس"/>
    <x v="1"/>
    <s v="فنی"/>
    <s v="جلیل"/>
    <s v="لطف الهی"/>
    <x v="50"/>
    <s v="سید باقر"/>
    <s v="1368/06/19"/>
    <s v="06"/>
    <s v="06"/>
    <x v="0"/>
    <x v="0"/>
  </r>
  <r>
    <n v="52"/>
    <n v="250052"/>
    <s v="کارشناس"/>
    <x v="1"/>
    <s v="فنی"/>
    <s v="جلیل"/>
    <s v="گودرزی"/>
    <x v="51"/>
    <s v="ابوالحسن"/>
    <s v="1368/03/27"/>
    <s v="03"/>
    <s v="03"/>
    <x v="0"/>
    <x v="1"/>
  </r>
  <r>
    <n v="53"/>
    <n v="250053"/>
    <s v="کارشناس"/>
    <x v="1"/>
    <s v="فنی"/>
    <s v="جمیله"/>
    <s v="گرایلو"/>
    <x v="52"/>
    <s v="فرامرز"/>
    <s v="1368/08/28"/>
    <s v="08"/>
    <s v="08"/>
    <x v="1"/>
    <x v="1"/>
  </r>
  <r>
    <n v="54"/>
    <n v="250054"/>
    <s v="کارگر ساده"/>
    <x v="1"/>
    <s v="کارگر ساده"/>
    <s v="حامد"/>
    <s v="کیان پور"/>
    <x v="53"/>
    <s v="اکبرآقا"/>
    <s v="1368/10/16"/>
    <s v="10"/>
    <s v="10"/>
    <x v="0"/>
    <x v="1"/>
  </r>
  <r>
    <n v="55"/>
    <n v="250055"/>
    <s v="کارگر ساده"/>
    <x v="1"/>
    <s v="کارگر ساده"/>
    <s v="حامد"/>
    <s v="کیان"/>
    <x v="54"/>
    <s v="عبداله"/>
    <s v="1368/09/26"/>
    <s v="09"/>
    <s v="09"/>
    <x v="0"/>
    <x v="1"/>
  </r>
  <r>
    <n v="56"/>
    <n v="250056"/>
    <s v="کارگر ساده"/>
    <x v="1"/>
    <s v="کارگر ساده"/>
    <s v="حسن"/>
    <s v="کوشککی"/>
    <x v="55"/>
    <s v="نبی اله"/>
    <s v="1368/12/06"/>
    <s v="12"/>
    <s v="12"/>
    <x v="0"/>
    <x v="1"/>
  </r>
  <r>
    <n v="57"/>
    <n v="250057"/>
    <s v="کارگر ساده"/>
    <x v="1"/>
    <s v="کارگر ساده"/>
    <s v="حسین"/>
    <s v="کوشافر"/>
    <x v="56"/>
    <s v="علی"/>
    <s v="1369/01/13"/>
    <s v="01"/>
    <s v="01"/>
    <x v="0"/>
    <x v="1"/>
  </r>
  <r>
    <n v="58"/>
    <n v="250058"/>
    <s v="کارگر ساده"/>
    <x v="1"/>
    <s v="کارگر ساده"/>
    <s v="حسین"/>
    <s v="کنعانی هرندی"/>
    <x v="57"/>
    <s v="علی"/>
    <s v="1368/11/11"/>
    <s v="11"/>
    <s v="11"/>
    <x v="0"/>
    <x v="1"/>
  </r>
  <r>
    <n v="59"/>
    <n v="250059"/>
    <s v="کارگر ساده"/>
    <x v="1"/>
    <s v="کارگر ساده"/>
    <s v="حمید"/>
    <s v="کمالی کمازانی"/>
    <x v="58"/>
    <s v="مرتضی"/>
    <s v="1369/01/29"/>
    <s v="01"/>
    <s v="01"/>
    <x v="0"/>
    <x v="1"/>
  </r>
  <r>
    <n v="60"/>
    <n v="250060"/>
    <s v="کارگر ساده"/>
    <x v="1"/>
    <s v="کارگر ساده"/>
    <s v="حمید"/>
    <s v="کشوری"/>
    <x v="59"/>
    <s v="محمود"/>
    <s v="1369/01/03"/>
    <s v="01"/>
    <s v="01"/>
    <x v="0"/>
    <x v="2"/>
  </r>
  <r>
    <n v="61"/>
    <n v="250061"/>
    <s v="کارگر ساده"/>
    <x v="1"/>
    <s v="کارگر ساده"/>
    <s v="حمید"/>
    <s v="کریمی"/>
    <x v="60"/>
    <s v="یوسف"/>
    <s v="1368/11/20"/>
    <s v="11"/>
    <s v="11"/>
    <x v="0"/>
    <x v="0"/>
  </r>
  <r>
    <n v="62"/>
    <n v="250062"/>
    <s v="کارگر ساده"/>
    <x v="1"/>
    <s v="کارگر ساده"/>
    <s v="حمیدرضا"/>
    <s v="کریم فر"/>
    <x v="61"/>
    <s v="داود"/>
    <s v="1369/02/29"/>
    <s v="02"/>
    <s v="02"/>
    <x v="0"/>
    <x v="0"/>
  </r>
  <r>
    <n v="63"/>
    <n v="250063"/>
    <s v="کارگر ساده"/>
    <x v="1"/>
    <s v="کارگر ساده"/>
    <s v="حمیرا"/>
    <s v="کریم زاده"/>
    <x v="62"/>
    <s v="عزیزاله"/>
    <s v="1369/03/31"/>
    <s v="03"/>
    <s v="03"/>
    <x v="1"/>
    <x v="0"/>
  </r>
  <r>
    <n v="64"/>
    <n v="250064"/>
    <s v="کارگر ساده"/>
    <x v="1"/>
    <s v="کارگر ساده"/>
    <s v="حمیرا"/>
    <s v="کرمانی"/>
    <x v="63"/>
    <s v="احمد"/>
    <s v="1398/10/23"/>
    <s v="10"/>
    <s v="10"/>
    <x v="1"/>
    <x v="1"/>
  </r>
  <r>
    <n v="65"/>
    <n v="250065"/>
    <s v="کارگر ساده"/>
    <x v="1"/>
    <s v="کارگر ساده"/>
    <s v="خدیجه"/>
    <s v="كیانی"/>
    <x v="64"/>
    <s v="محمود"/>
    <s v="1398/10/23"/>
    <s v="10"/>
    <s v="10"/>
    <x v="1"/>
    <x v="1"/>
  </r>
  <r>
    <n v="66"/>
    <n v="250066"/>
    <s v="کارگر ساده"/>
    <x v="1"/>
    <s v="کارگر ساده"/>
    <s v="خدیجه"/>
    <s v="قنبری"/>
    <x v="65"/>
    <s v="اسمائیل"/>
    <s v="1369/09/09"/>
    <s v="09"/>
    <s v="09"/>
    <x v="1"/>
    <x v="0"/>
  </r>
  <r>
    <n v="67"/>
    <n v="250067"/>
    <s v="کارگر ساده"/>
    <x v="1"/>
    <s v="کارگر ساده"/>
    <s v="داود"/>
    <s v="قلاوند"/>
    <x v="66"/>
    <s v="علی اکبر"/>
    <s v="1369/10/16"/>
    <s v="10"/>
    <s v="10"/>
    <x v="0"/>
    <x v="3"/>
  </r>
  <r>
    <n v="68"/>
    <n v="250068"/>
    <s v="کارگر ساده"/>
    <x v="1"/>
    <s v="کارگر ساده"/>
    <s v="دنیا"/>
    <s v="قربانی"/>
    <x v="67"/>
    <s v="صفی اله"/>
    <s v="1369/10/14"/>
    <s v="10"/>
    <s v="10"/>
    <x v="1"/>
    <x v="1"/>
  </r>
  <r>
    <n v="69"/>
    <n v="250069"/>
    <s v="کارگر ساده"/>
    <x v="1"/>
    <s v="کارگر ساده"/>
    <s v="رحمان"/>
    <s v="قدیمی"/>
    <x v="68"/>
    <s v="محمدعلی"/>
    <s v="1369/10/23"/>
    <s v="10"/>
    <s v="10"/>
    <x v="0"/>
    <x v="1"/>
  </r>
  <r>
    <n v="70"/>
    <n v="250070"/>
    <s v="کارگر ساده"/>
    <x v="1"/>
    <s v="کارگر ساده"/>
    <s v="رسول"/>
    <s v="قدوسی جوهری"/>
    <x v="69"/>
    <s v="محمد"/>
    <s v="1369/11/09"/>
    <s v="11"/>
    <s v="11"/>
    <x v="0"/>
    <x v="1"/>
  </r>
  <r>
    <n v="71"/>
    <n v="250071"/>
    <s v="کارگر ساده"/>
    <x v="1"/>
    <s v="کارگر ساده"/>
    <s v="رضا"/>
    <s v="قدردان بازکیایی"/>
    <x v="70"/>
    <s v="فرانوش"/>
    <s v="1370/01/27"/>
    <s v="01"/>
    <s v="01"/>
    <x v="0"/>
    <x v="1"/>
  </r>
  <r>
    <n v="72"/>
    <n v="250072"/>
    <s v="کارگر ساده"/>
    <x v="1"/>
    <s v="کارگر ساده"/>
    <s v="رضا"/>
    <s v="قبادی"/>
    <x v="71"/>
    <s v="امیر"/>
    <s v="1369/11/21"/>
    <s v="11"/>
    <s v="11"/>
    <x v="0"/>
    <x v="0"/>
  </r>
  <r>
    <n v="73"/>
    <n v="250073"/>
    <s v="کارگر ساده"/>
    <x v="1"/>
    <s v="کارگر ساده"/>
    <s v="رضا"/>
    <s v="قاسمی وینچه"/>
    <x v="72"/>
    <s v="رجب"/>
    <s v="1370/06/05"/>
    <s v="06"/>
    <s v="06"/>
    <x v="0"/>
    <x v="1"/>
  </r>
  <r>
    <n v="74"/>
    <n v="250074"/>
    <s v="کارگر ساده"/>
    <x v="1"/>
    <s v="کارگر ساده"/>
    <s v="رضوان"/>
    <s v="قاسمی برمی"/>
    <x v="73"/>
    <s v="حسین"/>
    <s v="1370/08/12"/>
    <s v="08"/>
    <s v="08"/>
    <x v="0"/>
    <x v="0"/>
  </r>
  <r>
    <n v="75"/>
    <n v="250075"/>
    <s v="کارگر ساده"/>
    <x v="1"/>
    <s v="کارگر ساده"/>
    <s v="ریحانه"/>
    <s v="قابلی سردهائی"/>
    <x v="74"/>
    <s v="مراد علی"/>
    <s v="1371/04/21"/>
    <s v="04"/>
    <s v="04"/>
    <x v="1"/>
    <x v="2"/>
  </r>
  <r>
    <n v="76"/>
    <n v="250076"/>
    <s v="کارگر ساده"/>
    <x v="1"/>
    <s v="کارگر ساده"/>
    <s v="زهرا"/>
    <s v="فیلی"/>
    <x v="75"/>
    <s v="حسن"/>
    <s v="1371/05/25"/>
    <s v="05"/>
    <s v="05"/>
    <x v="1"/>
    <x v="3"/>
  </r>
  <r>
    <n v="77"/>
    <n v="250077"/>
    <s v="کارگر ساده"/>
    <x v="1"/>
    <s v="کارگر ساده"/>
    <s v="زهرا"/>
    <s v="فولادگر"/>
    <x v="76"/>
    <s v="حشمت اله"/>
    <s v="1371/06/11"/>
    <s v="06"/>
    <s v="06"/>
    <x v="1"/>
    <x v="0"/>
  </r>
  <r>
    <n v="78"/>
    <n v="250078"/>
    <s v="کارگر ساده"/>
    <x v="1"/>
    <s v="کارگر ساده"/>
    <s v="زهرا"/>
    <s v="فوقانی بایکی"/>
    <x v="77"/>
    <s v="علی رضا"/>
    <s v="1371/06/29"/>
    <s v="06"/>
    <s v="06"/>
    <x v="1"/>
    <x v="0"/>
  </r>
  <r>
    <n v="79"/>
    <n v="250079"/>
    <s v="کارگر ساده"/>
    <x v="1"/>
    <s v="کارگر ساده"/>
    <s v="زهرا"/>
    <s v="فهیمی باویل"/>
    <x v="78"/>
    <s v="حسین"/>
    <s v="1371/07/05"/>
    <s v="07"/>
    <s v="07"/>
    <x v="1"/>
    <x v="2"/>
  </r>
  <r>
    <n v="80"/>
    <n v="250080"/>
    <s v="کارگر ساده"/>
    <x v="1"/>
    <s v="کارگر ساده"/>
    <s v="زهرا"/>
    <s v="فهیمی"/>
    <x v="79"/>
    <s v="منوچهر"/>
    <s v="1371/11/13"/>
    <s v="11"/>
    <s v="11"/>
    <x v="1"/>
    <x v="1"/>
  </r>
  <r>
    <n v="81"/>
    <n v="250081"/>
    <s v="کارگر ساده"/>
    <x v="1"/>
    <s v="کارگر ساده"/>
    <s v="زهرا"/>
    <s v="فریدونی"/>
    <x v="80"/>
    <s v="حميدرضا"/>
    <s v="1371/11/04"/>
    <s v="11"/>
    <s v="11"/>
    <x v="1"/>
    <x v="1"/>
  </r>
  <r>
    <n v="82"/>
    <n v="250082"/>
    <s v="کارگر ساده"/>
    <x v="1"/>
    <s v="کارگر ساده"/>
    <s v="زهرا"/>
    <s v="فریدونی"/>
    <x v="81"/>
    <s v="علیرضا"/>
    <s v="1371/10/10"/>
    <s v="10"/>
    <s v="10"/>
    <x v="1"/>
    <x v="2"/>
  </r>
  <r>
    <n v="83"/>
    <n v="250083"/>
    <s v="کارگر ساده"/>
    <x v="1"/>
    <s v="کارگر ساده"/>
    <s v="زهره"/>
    <s v="فروتن"/>
    <x v="82"/>
    <s v="سلیمان"/>
    <s v="1371/12/12"/>
    <s v="12"/>
    <s v="12"/>
    <x v="1"/>
    <x v="0"/>
  </r>
  <r>
    <n v="84"/>
    <n v="250084"/>
    <s v="کارگر ساده"/>
    <x v="1"/>
    <s v="کارگر ساده"/>
    <s v="زهره"/>
    <s v="فرهی قهی"/>
    <x v="83"/>
    <s v="علی"/>
    <s v="1371/11/26"/>
    <s v="11"/>
    <s v="11"/>
    <x v="1"/>
    <x v="0"/>
  </r>
  <r>
    <n v="85"/>
    <n v="250085"/>
    <s v="کارگر ساده"/>
    <x v="1"/>
    <s v="کارگر ساده"/>
    <s v="زیبا"/>
    <s v="فرهی قهی"/>
    <x v="84"/>
    <s v="محمد"/>
    <s v="1371/11/23"/>
    <s v="11"/>
    <s v="11"/>
    <x v="1"/>
    <x v="1"/>
  </r>
  <r>
    <n v="86"/>
    <n v="250086"/>
    <s v="کارگر ساده"/>
    <x v="1"/>
    <s v="کارگر ساده"/>
    <s v="زینب"/>
    <s v="فرهنگ قریق"/>
    <x v="85"/>
    <s v="ابوالحسن"/>
    <s v="1371/12/26"/>
    <s v="12"/>
    <s v="12"/>
    <x v="1"/>
    <x v="2"/>
  </r>
  <r>
    <n v="87"/>
    <n v="250087"/>
    <s v="کارگر ساده"/>
    <x v="1"/>
    <s v="کارگر ساده"/>
    <s v="زینب"/>
    <s v="فرقی"/>
    <x v="86"/>
    <s v="علیرضا"/>
    <s v="1371/12/08"/>
    <s v="12"/>
    <s v="12"/>
    <x v="1"/>
    <x v="2"/>
  </r>
  <r>
    <n v="88"/>
    <n v="250088"/>
    <s v="کارگر ساده"/>
    <x v="1"/>
    <s v="کارگر ساده"/>
    <s v="زینب "/>
    <s v="فرزان"/>
    <x v="87"/>
    <s v="رحیم"/>
    <s v="1372/01/20"/>
    <s v="01"/>
    <s v="01"/>
    <x v="1"/>
    <x v="1"/>
  </r>
  <r>
    <n v="89"/>
    <n v="250089"/>
    <s v="کارگر ساده"/>
    <x v="1"/>
    <s v="کارگر ساده"/>
    <s v="سارا"/>
    <s v="فردی"/>
    <x v="88"/>
    <s v="خسرو"/>
    <s v="1372/03/07"/>
    <s v="03"/>
    <s v="03"/>
    <x v="1"/>
    <x v="1"/>
  </r>
  <r>
    <n v="90"/>
    <n v="250090"/>
    <s v="کارگر ساده"/>
    <x v="1"/>
    <s v="کارگر ساده"/>
    <s v="سارا"/>
    <s v="فرد"/>
    <x v="89"/>
    <s v="حسین"/>
    <s v="1372/05/05"/>
    <s v="05"/>
    <s v="05"/>
    <x v="1"/>
    <x v="2"/>
  </r>
  <r>
    <n v="91"/>
    <n v="250091"/>
    <s v="کارگر ساده"/>
    <x v="1"/>
    <s v="کارگر ساده"/>
    <s v="سارا"/>
    <s v="فرح دماوندی"/>
    <x v="90"/>
    <s v="محمد باقر"/>
    <s v="1372/05/24"/>
    <s v="05"/>
    <s v="05"/>
    <x v="1"/>
    <x v="1"/>
  </r>
  <r>
    <n v="92"/>
    <n v="250092"/>
    <s v="کارگر ساده"/>
    <x v="1"/>
    <s v="کارگر ساده"/>
    <s v="سارا"/>
    <s v="فتحی گوگردچی"/>
    <x v="91"/>
    <s v="محمد"/>
    <s v="1372/07/15"/>
    <s v="07"/>
    <s v="07"/>
    <x v="1"/>
    <x v="0"/>
  </r>
  <r>
    <n v="93"/>
    <n v="250093"/>
    <s v="کارگر ساده"/>
    <x v="1"/>
    <s v="کارگر ساده"/>
    <s v="سالومه"/>
    <s v="فتحی کرامی"/>
    <x v="92"/>
    <s v="مرتضی"/>
    <s v="1372/11/17"/>
    <s v="11"/>
    <s v="11"/>
    <x v="1"/>
    <x v="1"/>
  </r>
  <r>
    <n v="94"/>
    <n v="250094"/>
    <s v="کارگر ساده"/>
    <x v="1"/>
    <s v="کارگر ساده"/>
    <s v="سپیده"/>
    <s v="غنچی"/>
    <x v="93"/>
    <s v="ابوالقاسم"/>
    <s v="1371/04/15"/>
    <s v="04"/>
    <s v="04"/>
    <x v="1"/>
    <x v="2"/>
  </r>
  <r>
    <n v="95"/>
    <n v="250095"/>
    <s v="کارگر ساده"/>
    <x v="1"/>
    <s v="کارگر ساده"/>
    <s v="ستایش"/>
    <s v="غلامی"/>
    <x v="94"/>
    <s v="ایرج"/>
    <s v="1373/02/09"/>
    <s v="02"/>
    <s v="02"/>
    <x v="1"/>
    <x v="0"/>
  </r>
  <r>
    <n v="96"/>
    <n v="250096"/>
    <s v="کارگر ساده"/>
    <x v="1"/>
    <s v="کارگر ساده"/>
    <s v="سجاد"/>
    <s v="غلامعلی نتاج بائی"/>
    <x v="95"/>
    <s v="سیدکمال"/>
    <s v="1399/09/01"/>
    <s v="09"/>
    <s v="09"/>
    <x v="0"/>
    <x v="3"/>
  </r>
  <r>
    <n v="97"/>
    <n v="250097"/>
    <s v="راننده لیفتراک"/>
    <x v="1"/>
    <s v="راننده"/>
    <s v="سجاد"/>
    <s v="غریب نواز"/>
    <x v="96"/>
    <s v="مرتضی"/>
    <s v="1346/04/01"/>
    <s v="04"/>
    <s v="04"/>
    <x v="0"/>
    <x v="0"/>
  </r>
  <r>
    <n v="98"/>
    <n v="250098"/>
    <s v="راننده لیفتراک"/>
    <x v="0"/>
    <s v="راننده"/>
    <s v="سجاد"/>
    <s v="علیمرادی"/>
    <x v="97"/>
    <s v="محمود"/>
    <s v="1373/11/04"/>
    <s v="11"/>
    <s v="11"/>
    <x v="0"/>
    <x v="1"/>
  </r>
  <r>
    <n v="99"/>
    <n v="250099"/>
    <s v="راننده لیفتراک"/>
    <x v="1"/>
    <s v="راننده"/>
    <s v="سجاد"/>
    <s v="علی محمدی"/>
    <x v="98"/>
    <s v="لطف اله"/>
    <s v="1373/11/29"/>
    <s v="11"/>
    <s v="11"/>
    <x v="0"/>
    <x v="2"/>
  </r>
  <r>
    <n v="100"/>
    <n v="250100"/>
    <s v="راننده لیفتراک"/>
    <x v="1"/>
    <s v="راننده"/>
    <s v="سحر"/>
    <s v="علی اکبری"/>
    <x v="99"/>
    <s v="نصراله"/>
    <s v="1374/06/19"/>
    <s v="06"/>
    <s v="06"/>
    <x v="1"/>
    <x v="1"/>
  </r>
  <r>
    <n v="101"/>
    <n v="250101"/>
    <s v="تعمیرکار"/>
    <x v="1"/>
    <s v="فنی"/>
    <s v="سروش"/>
    <s v="علی اصغری"/>
    <x v="100"/>
    <s v="سعید"/>
    <s v="1374/06/27"/>
    <s v="06"/>
    <s v="06"/>
    <x v="0"/>
    <x v="0"/>
  </r>
  <r>
    <n v="102"/>
    <n v="250102"/>
    <s v="تعمیرکار"/>
    <x v="0"/>
    <s v="فنی"/>
    <s v="سعید"/>
    <s v="عقیقی"/>
    <x v="101"/>
    <s v="پرویز"/>
    <s v="1374/05/24"/>
    <s v="05"/>
    <s v="05"/>
    <x v="0"/>
    <x v="0"/>
  </r>
  <r>
    <n v="103"/>
    <n v="250103"/>
    <s v="تعمیرکار"/>
    <x v="0"/>
    <s v="فنی"/>
    <s v="سعید"/>
    <s v="عظیمیان"/>
    <x v="102"/>
    <s v="صفر علی"/>
    <s v="1375/04/13"/>
    <s v="04"/>
    <s v="04"/>
    <x v="0"/>
    <x v="1"/>
  </r>
  <r>
    <n v="104"/>
    <n v="250104"/>
    <s v="تعمیرکار"/>
    <x v="1"/>
    <s v="فنی"/>
    <s v="سعید"/>
    <s v="عزیزی"/>
    <x v="103"/>
    <s v="مرتضی"/>
    <s v="1375/01/27"/>
    <s v="01"/>
    <s v="01"/>
    <x v="0"/>
    <x v="0"/>
  </r>
  <r>
    <n v="105"/>
    <n v="250105"/>
    <s v="تعمیرکار"/>
    <x v="1"/>
    <s v="فنی"/>
    <s v="سعید اله"/>
    <s v="عزیزمحمدی"/>
    <x v="104"/>
    <s v="عادل"/>
    <s v="1375/05/26"/>
    <s v="05"/>
    <s v="05"/>
    <x v="0"/>
    <x v="2"/>
  </r>
  <r>
    <n v="106"/>
    <n v="250106"/>
    <s v="تعمیرکار"/>
    <x v="1"/>
    <s v="فنی"/>
    <s v="سکینه"/>
    <s v="عرفانی"/>
    <x v="105"/>
    <s v="محمدرضا"/>
    <s v="1375/07/09"/>
    <s v="07"/>
    <s v="07"/>
    <x v="1"/>
    <x v="2"/>
  </r>
  <r>
    <n v="107"/>
    <n v="250107"/>
    <s v="اپراتور دستگاه"/>
    <x v="1"/>
    <s v="فنی"/>
    <s v="سلیم"/>
    <s v="عربی"/>
    <x v="106"/>
    <s v="اسماعیل"/>
    <s v="1375/11/17"/>
    <s v="11"/>
    <s v="11"/>
    <x v="0"/>
    <x v="0"/>
  </r>
  <r>
    <n v="108"/>
    <n v="250108"/>
    <s v="اپراتور دستگاه"/>
    <x v="1"/>
    <s v="فنی"/>
    <s v="سمانه"/>
    <s v="عربی"/>
    <x v="107"/>
    <s v="قاسم"/>
    <s v="1375/07/07"/>
    <s v="07"/>
    <s v="07"/>
    <x v="1"/>
    <x v="2"/>
  </r>
  <r>
    <n v="109"/>
    <n v="250109"/>
    <s v="اپراتور دستگاه"/>
    <x v="1"/>
    <s v="فنی"/>
    <s v="سمانه"/>
    <s v="عبدلی"/>
    <x v="108"/>
    <s v="سعید"/>
    <s v="1375/12/19"/>
    <s v="12"/>
    <s v="12"/>
    <x v="1"/>
    <x v="1"/>
  </r>
  <r>
    <n v="110"/>
    <n v="250110"/>
    <s v="اپراتور دستگاه"/>
    <x v="1"/>
    <s v="فنی"/>
    <s v="سمانه"/>
    <s v="عبدالهی"/>
    <x v="109"/>
    <s v="بهمن"/>
    <s v="1376/09/04"/>
    <s v="09"/>
    <s v="09"/>
    <x v="1"/>
    <x v="0"/>
  </r>
  <r>
    <n v="111"/>
    <n v="250111"/>
    <s v="اپراتور دستگاه"/>
    <x v="1"/>
    <s v="فنی"/>
    <s v="سمانه"/>
    <s v="عبدالمجید"/>
    <x v="110"/>
    <s v="امیرحسین"/>
    <s v="1377/06/30"/>
    <s v="06"/>
    <s v="06"/>
    <x v="1"/>
    <x v="0"/>
  </r>
  <r>
    <n v="112"/>
    <n v="250112"/>
    <s v="اپراتور دستگاه"/>
    <x v="1"/>
    <s v="فنی"/>
    <s v="سمانه"/>
    <s v="عبابافان"/>
    <x v="111"/>
    <s v="امیر حسین"/>
    <s v="1377/09/15"/>
    <s v="09"/>
    <s v="09"/>
    <x v="1"/>
    <x v="0"/>
  </r>
  <r>
    <n v="113"/>
    <n v="250113"/>
    <s v="اپراتور دستگاه"/>
    <x v="1"/>
    <s v="فنی"/>
    <s v="سمیرا"/>
    <s v="عاکف"/>
    <x v="112"/>
    <s v="محمدرضا"/>
    <s v="1379/02/04"/>
    <s v="02"/>
    <s v="02"/>
    <x v="1"/>
    <x v="2"/>
  </r>
  <r>
    <n v="114"/>
    <n v="250114"/>
    <s v="اپراتور دستگاه"/>
    <x v="1"/>
    <s v="فنی"/>
    <s v="سمیه"/>
    <s v="طیباتی"/>
    <x v="113"/>
    <s v="فیض اله"/>
    <s v="1371/11/17"/>
    <s v="11"/>
    <s v="11"/>
    <x v="1"/>
    <x v="1"/>
  </r>
  <r>
    <n v="115"/>
    <n v="250115"/>
    <s v="اپراتور دستگاه"/>
    <x v="1"/>
    <s v="فنی"/>
    <s v="سمیه"/>
    <s v="طباطبایی"/>
    <x v="114"/>
    <s v="مهدی"/>
    <s v="1399/07/01"/>
    <s v="07"/>
    <s v="07"/>
    <x v="1"/>
    <x v="4"/>
  </r>
  <r>
    <n v="116"/>
    <n v="250116"/>
    <s v="اپراتور دستگاه"/>
    <x v="1"/>
    <s v="فنی"/>
    <s v="سمیه"/>
    <s v="طایفه مکری"/>
    <x v="115"/>
    <s v="سلیمان"/>
    <s v="1344/12/01"/>
    <s v="12"/>
    <s v="12"/>
    <x v="1"/>
    <x v="2"/>
  </r>
  <r>
    <n v="117"/>
    <n v="250117"/>
    <s v="اپراتور دستگاه"/>
    <x v="1"/>
    <s v="فنی"/>
    <s v="سمیه"/>
    <s v="طاهری"/>
    <x v="116"/>
    <s v="محمدتقی"/>
    <s v="1341/06/01"/>
    <s v="06"/>
    <s v="06"/>
    <x v="1"/>
    <x v="0"/>
  </r>
  <r>
    <n v="118"/>
    <n v="250118"/>
    <s v="اپراتور دستگاه"/>
    <x v="1"/>
    <s v="فنی"/>
    <s v="سمیه"/>
    <s v="طاهر زاده شیخانی"/>
    <x v="117"/>
    <s v="علی"/>
    <s v="1342/12/25"/>
    <s v="12"/>
    <s v="12"/>
    <x v="1"/>
    <x v="0"/>
  </r>
  <r>
    <n v="119"/>
    <n v="250119"/>
    <s v="اپراتور دستگاه"/>
    <x v="1"/>
    <s v="فنی"/>
    <s v="سولماز"/>
    <s v="صوری"/>
    <x v="118"/>
    <s v="غلامرضا"/>
    <s v="1331/08/15"/>
    <s v="08"/>
    <s v="08"/>
    <x v="1"/>
    <x v="0"/>
  </r>
  <r>
    <n v="120"/>
    <n v="250120"/>
    <s v="اپراتور دستگاه"/>
    <x v="1"/>
    <s v="فنی"/>
    <s v="سید شهاب الدین"/>
    <s v="صفریان"/>
    <x v="119"/>
    <s v="حیدر"/>
    <s v="1399/04/01"/>
    <s v="04"/>
    <s v="04"/>
    <x v="1"/>
    <x v="5"/>
  </r>
  <r>
    <n v="121"/>
    <n v="250121"/>
    <s v="اپراتور دستگاه"/>
    <x v="1"/>
    <s v="فنی"/>
    <s v="سید علیرضا "/>
    <s v="صفری پور"/>
    <x v="120"/>
    <s v="علی اصغر"/>
    <s v="1349/06/09"/>
    <s v="06"/>
    <s v="06"/>
    <x v="0"/>
    <x v="2"/>
  </r>
  <r>
    <n v="122"/>
    <n v="250122"/>
    <s v="خدمات"/>
    <x v="1"/>
    <s v="خدمات"/>
    <s v="سید مجتبی"/>
    <s v="صبوری"/>
    <x v="121"/>
    <s v="خسرو"/>
    <s v="1399/11/1"/>
    <s v="11"/>
    <s v="11"/>
    <x v="0"/>
    <x v="1"/>
  </r>
  <r>
    <n v="123"/>
    <n v="250123"/>
    <s v="خدمات"/>
    <x v="1"/>
    <s v="خدمات"/>
    <s v="سید مسعود"/>
    <s v="صالحی دولابی "/>
    <x v="122"/>
    <s v="حبیب اله"/>
    <s v="1349/10/03"/>
    <s v="10"/>
    <s v="10"/>
    <x v="0"/>
    <x v="3"/>
  </r>
  <r>
    <n v="124"/>
    <n v="250124"/>
    <s v="خدمات"/>
    <x v="1"/>
    <s v="خدمات"/>
    <s v="سید مهدی"/>
    <s v="صادقیان سدهی"/>
    <x v="123"/>
    <s v="حسین"/>
    <s v="1352/05/12"/>
    <s v="05"/>
    <s v="05"/>
    <x v="0"/>
    <x v="0"/>
  </r>
  <r>
    <n v="125"/>
    <n v="250125"/>
    <s v="خدمات"/>
    <x v="1"/>
    <s v="خدمات"/>
    <s v="سید ه ندا"/>
    <s v="صادقی نژاد"/>
    <x v="124"/>
    <s v="ابوالفضل"/>
    <s v="1350/08/21"/>
    <s v="08"/>
    <s v="08"/>
    <x v="1"/>
    <x v="0"/>
  </r>
  <r>
    <n v="126"/>
    <n v="250126"/>
    <s v="خدمات"/>
    <x v="1"/>
    <s v="خدمات"/>
    <s v="سیده فاطمه"/>
    <s v="صادقی فر"/>
    <x v="125"/>
    <s v="رمضانعلی"/>
    <s v="1352/01/10"/>
    <s v="01"/>
    <s v="01"/>
    <x v="1"/>
    <x v="0"/>
  </r>
  <r>
    <n v="127"/>
    <n v="250127"/>
    <s v="خدمات"/>
    <x v="1"/>
    <s v="خدمات"/>
    <s v="شهباز"/>
    <s v="صادقی"/>
    <x v="126"/>
    <s v="عبداله"/>
    <s v="1350/07/22"/>
    <s v="07"/>
    <s v="07"/>
    <x v="0"/>
    <x v="4"/>
  </r>
  <r>
    <n v="128"/>
    <n v="250128"/>
    <s v="خدمات"/>
    <x v="1"/>
    <s v="خدمات"/>
    <s v="شهروز"/>
    <s v="صادقی"/>
    <x v="127"/>
    <s v="غلامرضا"/>
    <s v="1358/11/17"/>
    <s v="11"/>
    <s v="11"/>
    <x v="0"/>
    <x v="1"/>
  </r>
  <r>
    <n v="129"/>
    <n v="250129"/>
    <s v="خدمات"/>
    <x v="1"/>
    <s v="خدمات"/>
    <s v="شهریار"/>
    <s v="صاحبی"/>
    <x v="128"/>
    <s v="عبدالصمد"/>
    <s v="1358/12/22"/>
    <s v="12"/>
    <s v="12"/>
    <x v="0"/>
    <x v="1"/>
  </r>
  <r>
    <n v="130"/>
    <n v="250130"/>
    <s v="خدمات"/>
    <x v="1"/>
    <s v="خدمات"/>
    <s v="طاهر"/>
    <s v="شوقیان"/>
    <x v="129"/>
    <s v="محسن"/>
    <s v="1354/09/10"/>
    <s v="09"/>
    <s v="09"/>
    <x v="0"/>
    <x v="2"/>
  </r>
  <r>
    <n v="131"/>
    <n v="250131"/>
    <s v="خدمات"/>
    <x v="1"/>
    <s v="خدمات"/>
    <s v="عاطفه"/>
    <s v="شهسواری"/>
    <x v="130"/>
    <s v="ملکعلی"/>
    <s v="1362/12/22"/>
    <s v="12"/>
    <s v="12"/>
    <x v="1"/>
    <x v="0"/>
  </r>
  <r>
    <n v="132"/>
    <n v="250132"/>
    <s v="راننده"/>
    <x v="1"/>
    <s v="راننده"/>
    <s v="عباس"/>
    <s v="شم آبادی"/>
    <x v="131"/>
    <s v="ابوالقاسم"/>
    <s v="1398/10/23"/>
    <s v="10"/>
    <s v="10"/>
    <x v="0"/>
    <x v="1"/>
  </r>
  <r>
    <n v="133"/>
    <n v="250133"/>
    <s v="راننده"/>
    <x v="1"/>
    <s v="راننده"/>
    <s v="عرفان"/>
    <s v="شکرزاده"/>
    <x v="132"/>
    <s v="عباسعلی"/>
    <s v="1362/04/09"/>
    <s v="04"/>
    <s v="04"/>
    <x v="0"/>
    <x v="2"/>
  </r>
  <r>
    <n v="134"/>
    <n v="250134"/>
    <s v="راننده"/>
    <x v="0"/>
    <s v="راننده"/>
    <s v="عطیه"/>
    <s v="شریفی"/>
    <x v="133"/>
    <s v="مجتبی"/>
    <s v="1362/10/28"/>
    <s v="10"/>
    <s v="10"/>
    <x v="1"/>
    <x v="1"/>
  </r>
  <r>
    <n v="135"/>
    <n v="250135"/>
    <s v="راننده"/>
    <x v="0"/>
    <s v="راننده"/>
    <s v="علی"/>
    <s v="شبستری فرد "/>
    <x v="134"/>
    <s v="نصراله"/>
    <s v="1363/06/07"/>
    <s v="06"/>
    <s v="06"/>
    <x v="0"/>
    <x v="0"/>
  </r>
  <r>
    <n v="136"/>
    <n v="250136"/>
    <s v="راننده"/>
    <x v="0"/>
    <s v="راننده"/>
    <s v="علی"/>
    <s v="شایسته مهدیزاده"/>
    <x v="135"/>
    <s v="علی اصغر"/>
    <s v="1357/06/24"/>
    <s v="06"/>
    <s v="06"/>
    <x v="0"/>
    <x v="0"/>
  </r>
  <r>
    <n v="137"/>
    <n v="250137"/>
    <s v="راننده"/>
    <x v="0"/>
    <s v="راننده"/>
    <s v="علی"/>
    <s v="شایسته راد"/>
    <x v="136"/>
    <s v="محمود"/>
    <s v="1359/06/24"/>
    <s v="06"/>
    <s v="06"/>
    <x v="0"/>
    <x v="0"/>
  </r>
  <r>
    <n v="138"/>
    <n v="250138"/>
    <s v="راننده"/>
    <x v="1"/>
    <s v="راننده"/>
    <s v="علی"/>
    <s v="شاهچراغی"/>
    <x v="137"/>
    <s v="علی جعفر"/>
    <s v="1361/09/04"/>
    <s v="09"/>
    <s v="09"/>
    <x v="1"/>
    <x v="1"/>
  </r>
  <r>
    <n v="139"/>
    <n v="250139"/>
    <s v="راننده"/>
    <x v="1"/>
    <s v="راننده"/>
    <s v="علی"/>
    <s v="شاه چراغی"/>
    <x v="138"/>
    <s v="عربعلی"/>
    <s v="1356/06/23"/>
    <s v="06"/>
    <s v="06"/>
    <x v="0"/>
    <x v="3"/>
  </r>
  <r>
    <n v="140"/>
    <n v="250140"/>
    <s v="راننده"/>
    <x v="1"/>
    <s v="راننده"/>
    <s v="علی"/>
    <s v="شاکر"/>
    <x v="139"/>
    <s v="عباس"/>
    <s v="1358/06/15"/>
    <s v="06"/>
    <s v="06"/>
    <x v="0"/>
    <x v="0"/>
  </r>
  <r>
    <n v="141"/>
    <n v="250141"/>
    <s v="راننده"/>
    <x v="1"/>
    <s v="راننده"/>
    <s v="علی"/>
    <s v="سوداگر"/>
    <x v="140"/>
    <s v="ذبیح الله"/>
    <s v="1399/08/01"/>
    <s v="08"/>
    <s v="08"/>
    <x v="0"/>
    <x v="1"/>
  </r>
  <r>
    <n v="142"/>
    <n v="250142"/>
    <s v="حراست"/>
    <x v="1"/>
    <s v="حراست"/>
    <s v="علی"/>
    <s v="سهرابی مطلق"/>
    <x v="141"/>
    <s v="کریم"/>
    <s v="1357/02/10"/>
    <s v="02"/>
    <s v="02"/>
    <x v="0"/>
    <x v="0"/>
  </r>
  <r>
    <n v="143"/>
    <n v="250143"/>
    <s v="حراست"/>
    <x v="1"/>
    <s v="حراست"/>
    <s v="علی"/>
    <s v="سهرابی"/>
    <x v="142"/>
    <s v="محمدحسین"/>
    <s v="1361/01/21"/>
    <s v="01"/>
    <s v="01"/>
    <x v="0"/>
    <x v="0"/>
  </r>
  <r>
    <n v="144"/>
    <n v="250144"/>
    <s v="حراست"/>
    <x v="1"/>
    <s v="حراست"/>
    <s v="علی اصغر"/>
    <s v="سلیمی "/>
    <x v="143"/>
    <s v="منصور"/>
    <s v="1354/10/28"/>
    <s v="10"/>
    <s v="10"/>
    <x v="0"/>
    <x v="0"/>
  </r>
  <r>
    <n v="145"/>
    <n v="250145"/>
    <s v="حراست"/>
    <x v="1"/>
    <s v="حراست"/>
    <s v="علی اصغر"/>
    <s v="سلیمی"/>
    <x v="144"/>
    <s v="علی"/>
    <s v="1399/07/01"/>
    <s v="07"/>
    <s v="07"/>
    <x v="0"/>
    <x v="1"/>
  </r>
  <r>
    <n v="146"/>
    <n v="250146"/>
    <s v="حراست"/>
    <x v="1"/>
    <s v="حراست"/>
    <s v="علیرضا"/>
    <s v="سلیمی"/>
    <x v="145"/>
    <s v="عیسی"/>
    <s v="1361/01/27"/>
    <s v="01"/>
    <s v="01"/>
    <x v="0"/>
    <x v="2"/>
  </r>
  <r>
    <n v="147"/>
    <n v="250147"/>
    <s v="حراست"/>
    <x v="1"/>
    <s v="حراست"/>
    <s v="علیرضا"/>
    <s v="سلیمانپور"/>
    <x v="146"/>
    <s v="محمدعلی"/>
    <s v="1399/04/15"/>
    <s v="04"/>
    <s v="04"/>
    <x v="0"/>
    <x v="2"/>
  </r>
  <r>
    <n v="148"/>
    <n v="250148"/>
    <s v="حراست"/>
    <x v="1"/>
    <s v="حراست"/>
    <s v="عهدیه"/>
    <s v="سلیم خان شقاقی"/>
    <x v="147"/>
    <s v="اسماعیل"/>
    <s v="1363/09/23"/>
    <s v="09"/>
    <s v="09"/>
    <x v="1"/>
    <x v="3"/>
  </r>
  <r>
    <n v="149"/>
    <n v="250149"/>
    <s v="حراست"/>
    <x v="1"/>
    <s v="حراست"/>
    <s v="غلامرضا"/>
    <s v="سلطان زاده"/>
    <x v="148"/>
    <s v="جمشید"/>
    <s v="1398/10/23"/>
    <s v="10"/>
    <s v="10"/>
    <x v="0"/>
    <x v="0"/>
  </r>
  <r>
    <n v="150"/>
    <n v="250150"/>
    <s v="حراست"/>
    <x v="1"/>
    <s v="حراست"/>
    <s v="غلامعباس"/>
    <s v="سلحشور"/>
    <x v="149"/>
    <s v="عبداله"/>
    <s v="1398/10/23"/>
    <s v="10"/>
    <s v="10"/>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4">
  <r>
    <n v="1"/>
    <n v="1"/>
    <x v="0"/>
    <x v="0"/>
    <n v="250001"/>
    <s v="ابوالفضل"/>
    <x v="0"/>
    <x v="0"/>
    <x v="0"/>
    <n v="5.0000000000000001E-3"/>
    <n v="294950000"/>
  </r>
  <r>
    <n v="2"/>
    <n v="1"/>
    <x v="0"/>
    <x v="0"/>
    <n v="250002"/>
    <s v="ابوالفضل"/>
    <x v="1"/>
    <x v="1"/>
    <x v="1"/>
    <n v="6.1000000000000004E-3"/>
    <n v="259250000.00000003"/>
  </r>
  <r>
    <n v="3"/>
    <n v="1"/>
    <x v="0"/>
    <x v="0"/>
    <n v="250003"/>
    <s v="احسان"/>
    <x v="2"/>
    <x v="2"/>
    <x v="2"/>
    <n v="4.8999999999999998E-3"/>
    <n v="330750000"/>
  </r>
  <r>
    <n v="4"/>
    <n v="1"/>
    <x v="0"/>
    <x v="0"/>
    <n v="250004"/>
    <s v="احمد"/>
    <x v="3"/>
    <x v="3"/>
    <x v="3"/>
    <n v="4.7999999999999996E-3"/>
    <n v="271440000"/>
  </r>
  <r>
    <n v="5"/>
    <n v="1"/>
    <x v="0"/>
    <x v="0"/>
    <n v="250014"/>
    <s v="الهام"/>
    <x v="4"/>
    <x v="4"/>
    <x v="4"/>
    <n v="1.4E-3"/>
    <n v="604800000"/>
  </r>
  <r>
    <n v="6"/>
    <n v="1"/>
    <x v="0"/>
    <x v="0"/>
    <n v="250022"/>
    <s v="امیر حسین"/>
    <x v="5"/>
    <x v="5"/>
    <x v="5"/>
    <n v="2.0999999999999999E-3"/>
    <n v="457758000"/>
  </r>
  <r>
    <n v="7"/>
    <n v="1"/>
    <x v="0"/>
    <x v="0"/>
    <n v="250023"/>
    <s v="امیر محمد"/>
    <x v="6"/>
    <x v="6"/>
    <x v="6"/>
    <n v="2.0999999999999999E-3"/>
    <n v="388500000"/>
  </r>
  <r>
    <n v="8"/>
    <n v="2"/>
    <x v="1"/>
    <x v="0"/>
    <n v="250001"/>
    <s v="ابوالفضل"/>
    <x v="0"/>
    <x v="0"/>
    <x v="7"/>
    <n v="5.0000000000000001E-3"/>
    <n v="197500000"/>
  </r>
  <r>
    <n v="9"/>
    <n v="2"/>
    <x v="1"/>
    <x v="0"/>
    <n v="250002"/>
    <s v="ابوالفضل"/>
    <x v="1"/>
    <x v="1"/>
    <x v="8"/>
    <n v="6.1000000000000004E-3"/>
    <n v="296643000"/>
  </r>
  <r>
    <n v="10"/>
    <n v="2"/>
    <x v="1"/>
    <x v="0"/>
    <n v="250003"/>
    <s v="احسان"/>
    <x v="2"/>
    <x v="2"/>
    <x v="2"/>
    <n v="4.8999999999999998E-3"/>
    <n v="330750000"/>
  </r>
  <r>
    <n v="11"/>
    <n v="2"/>
    <x v="1"/>
    <x v="0"/>
    <n v="250004"/>
    <s v="احمد"/>
    <x v="3"/>
    <x v="3"/>
    <x v="9"/>
    <n v="4.7999999999999996E-3"/>
    <n v="203567999.99999997"/>
  </r>
  <r>
    <n v="12"/>
    <n v="2"/>
    <x v="1"/>
    <x v="0"/>
    <n v="250014"/>
    <s v="الهام"/>
    <x v="4"/>
    <x v="4"/>
    <x v="10"/>
    <n v="1.4E-3"/>
    <n v="756000000"/>
  </r>
  <r>
    <n v="13"/>
    <n v="2"/>
    <x v="1"/>
    <x v="0"/>
    <n v="250022"/>
    <s v="امیر حسین"/>
    <x v="5"/>
    <x v="5"/>
    <x v="11"/>
    <n v="2.0999999999999999E-3"/>
    <n v="389151000"/>
  </r>
  <r>
    <n v="14"/>
    <n v="2"/>
    <x v="1"/>
    <x v="0"/>
    <n v="250023"/>
    <s v="امیر محمد"/>
    <x v="6"/>
    <x v="6"/>
    <x v="12"/>
    <n v="2.0999999999999999E-3"/>
    <n v="404250000"/>
  </r>
  <r>
    <n v="15"/>
    <n v="3"/>
    <x v="2"/>
    <x v="0"/>
    <n v="250001"/>
    <s v="ابوالفضل"/>
    <x v="0"/>
    <x v="0"/>
    <x v="13"/>
    <n v="5.0000000000000001E-3"/>
    <n v="171300000"/>
  </r>
  <r>
    <n v="16"/>
    <n v="3"/>
    <x v="2"/>
    <x v="0"/>
    <n v="250002"/>
    <s v="ابوالفضل"/>
    <x v="1"/>
    <x v="1"/>
    <x v="14"/>
    <n v="6.1000000000000004E-3"/>
    <n v="199226000"/>
  </r>
  <r>
    <n v="17"/>
    <n v="3"/>
    <x v="2"/>
    <x v="0"/>
    <n v="250003"/>
    <s v="احسان"/>
    <x v="2"/>
    <x v="2"/>
    <x v="2"/>
    <n v="4.8999999999999998E-3"/>
    <n v="330750000"/>
  </r>
  <r>
    <n v="18"/>
    <n v="3"/>
    <x v="2"/>
    <x v="0"/>
    <n v="250004"/>
    <s v="احمد"/>
    <x v="3"/>
    <x v="3"/>
    <x v="15"/>
    <n v="4.7999999999999996E-3"/>
    <n v="183743999.99999997"/>
  </r>
  <r>
    <n v="19"/>
    <n v="3"/>
    <x v="2"/>
    <x v="0"/>
    <n v="250014"/>
    <s v="الهام"/>
    <x v="4"/>
    <x v="4"/>
    <x v="16"/>
    <n v="1.4E-3"/>
    <n v="721000000"/>
  </r>
  <r>
    <n v="20"/>
    <n v="3"/>
    <x v="2"/>
    <x v="0"/>
    <n v="250022"/>
    <s v="امیر حسین"/>
    <x v="5"/>
    <x v="5"/>
    <x v="17"/>
    <n v="2.0999999999999999E-3"/>
    <n v="343329000"/>
  </r>
  <r>
    <n v="21"/>
    <n v="3"/>
    <x v="2"/>
    <x v="0"/>
    <n v="250023"/>
    <s v="امیر محمد"/>
    <x v="6"/>
    <x v="6"/>
    <x v="18"/>
    <n v="2.0999999999999999E-3"/>
    <n v="355698000"/>
  </r>
  <r>
    <n v="22"/>
    <n v="4"/>
    <x v="3"/>
    <x v="1"/>
    <n v="250001"/>
    <s v="ابوالفضل"/>
    <x v="0"/>
    <x v="0"/>
    <x v="19"/>
    <n v="5.0000000000000001E-3"/>
    <n v="203150000"/>
  </r>
  <r>
    <n v="23"/>
    <n v="4"/>
    <x v="3"/>
    <x v="1"/>
    <n v="250002"/>
    <s v="ابوالفضل"/>
    <x v="1"/>
    <x v="1"/>
    <x v="20"/>
    <n v="6.1000000000000004E-3"/>
    <n v="228262000"/>
  </r>
  <r>
    <n v="24"/>
    <n v="4"/>
    <x v="3"/>
    <x v="1"/>
    <n v="250003"/>
    <s v="احسان"/>
    <x v="2"/>
    <x v="2"/>
    <x v="21"/>
    <n v="4.8999999999999998E-3"/>
    <n v="210602000"/>
  </r>
  <r>
    <n v="25"/>
    <n v="4"/>
    <x v="3"/>
    <x v="1"/>
    <n v="250004"/>
    <s v="احمد"/>
    <x v="3"/>
    <x v="3"/>
    <x v="22"/>
    <n v="4.7999999999999996E-3"/>
    <n v="134784000"/>
  </r>
  <r>
    <n v="26"/>
    <n v="4"/>
    <x v="3"/>
    <x v="1"/>
    <n v="250014"/>
    <s v="الهام"/>
    <x v="4"/>
    <x v="4"/>
    <x v="23"/>
    <n v="1.4E-3"/>
    <n v="422170000"/>
  </r>
  <r>
    <n v="27"/>
    <n v="4"/>
    <x v="3"/>
    <x v="1"/>
    <n v="250022"/>
    <s v="امیر حسین"/>
    <x v="5"/>
    <x v="5"/>
    <x v="24"/>
    <n v="2.0999999999999999E-3"/>
    <n v="316134000"/>
  </r>
  <r>
    <n v="28"/>
    <n v="4"/>
    <x v="3"/>
    <x v="1"/>
    <n v="250023"/>
    <s v="امیر محمد"/>
    <x v="6"/>
    <x v="6"/>
    <x v="25"/>
    <n v="2.0999999999999999E-3"/>
    <n v="443163000"/>
  </r>
  <r>
    <n v="29"/>
    <n v="5"/>
    <x v="4"/>
    <x v="1"/>
    <n v="250001"/>
    <s v="ابوالفضل"/>
    <x v="0"/>
    <x v="0"/>
    <x v="26"/>
    <n v="5.0000000000000001E-3"/>
    <n v="124400000"/>
  </r>
  <r>
    <n v="30"/>
    <n v="5"/>
    <x v="4"/>
    <x v="1"/>
    <n v="250002"/>
    <s v="ابوالفضل"/>
    <x v="1"/>
    <x v="1"/>
    <x v="27"/>
    <n v="6.1000000000000004E-3"/>
    <n v="287005000"/>
  </r>
  <r>
    <n v="31"/>
    <n v="5"/>
    <x v="4"/>
    <x v="1"/>
    <n v="250003"/>
    <s v="احسان"/>
    <x v="2"/>
    <x v="2"/>
    <x v="28"/>
    <n v="4.8999999999999998E-3"/>
    <n v="157535000"/>
  </r>
  <r>
    <n v="32"/>
    <n v="5"/>
    <x v="4"/>
    <x v="1"/>
    <n v="250004"/>
    <s v="احمد"/>
    <x v="3"/>
    <x v="3"/>
    <x v="29"/>
    <n v="4.7999999999999996E-3"/>
    <n v="124415999.99999999"/>
  </r>
  <r>
    <n v="33"/>
    <n v="5"/>
    <x v="4"/>
    <x v="1"/>
    <n v="250014"/>
    <s v="الهام"/>
    <x v="4"/>
    <x v="4"/>
    <x v="30"/>
    <n v="1.4E-3"/>
    <n v="521276000"/>
  </r>
  <r>
    <n v="34"/>
    <n v="5"/>
    <x v="4"/>
    <x v="1"/>
    <n v="250022"/>
    <s v="امیر حسین"/>
    <x v="5"/>
    <x v="5"/>
    <x v="31"/>
    <n v="2.0999999999999999E-3"/>
    <n v="429807000"/>
  </r>
  <r>
    <n v="35"/>
    <n v="5"/>
    <x v="4"/>
    <x v="1"/>
    <n v="250023"/>
    <s v="امیر محمد"/>
    <x v="6"/>
    <x v="6"/>
    <x v="32"/>
    <n v="2.0999999999999999E-3"/>
    <n v="481362000"/>
  </r>
  <r>
    <n v="36"/>
    <n v="6"/>
    <x v="5"/>
    <x v="1"/>
    <n v="250001"/>
    <s v="ابوالفضل"/>
    <x v="0"/>
    <x v="0"/>
    <x v="33"/>
    <n v="5.0000000000000001E-3"/>
    <n v="153850000"/>
  </r>
  <r>
    <n v="37"/>
    <n v="6"/>
    <x v="5"/>
    <x v="1"/>
    <n v="250002"/>
    <s v="ابوالفضل"/>
    <x v="1"/>
    <x v="1"/>
    <x v="34"/>
    <n v="6.1000000000000004E-3"/>
    <n v="312503000"/>
  </r>
  <r>
    <n v="38"/>
    <n v="6"/>
    <x v="5"/>
    <x v="1"/>
    <n v="250003"/>
    <s v="احسان"/>
    <x v="2"/>
    <x v="2"/>
    <x v="35"/>
    <n v="4.8999999999999998E-3"/>
    <n v="113386000"/>
  </r>
  <r>
    <n v="39"/>
    <n v="6"/>
    <x v="5"/>
    <x v="1"/>
    <n v="250004"/>
    <s v="احمد"/>
    <x v="3"/>
    <x v="3"/>
    <x v="36"/>
    <n v="4.7999999999999996E-3"/>
    <n v="297024000"/>
  </r>
  <r>
    <n v="40"/>
    <n v="6"/>
    <x v="5"/>
    <x v="1"/>
    <n v="250014"/>
    <s v="الهام"/>
    <x v="4"/>
    <x v="4"/>
    <x v="37"/>
    <n v="1.4E-3"/>
    <n v="597282000"/>
  </r>
  <r>
    <n v="41"/>
    <n v="6"/>
    <x v="5"/>
    <x v="1"/>
    <n v="250022"/>
    <s v="امیر حسین"/>
    <x v="5"/>
    <x v="5"/>
    <x v="38"/>
    <n v="2.0999999999999999E-3"/>
    <n v="361893000"/>
  </r>
  <r>
    <n v="42"/>
    <n v="6"/>
    <x v="5"/>
    <x v="1"/>
    <n v="250023"/>
    <s v="امیر محمد"/>
    <x v="6"/>
    <x v="6"/>
    <x v="39"/>
    <n v="2.0999999999999999E-3"/>
    <n v="655578000"/>
  </r>
  <r>
    <n v="43"/>
    <n v="7"/>
    <x v="6"/>
    <x v="2"/>
    <n v="250001"/>
    <s v="ابوالفضل"/>
    <x v="0"/>
    <x v="0"/>
    <x v="40"/>
    <n v="5.0000000000000001E-3"/>
    <n v="169850000"/>
  </r>
  <r>
    <n v="44"/>
    <n v="7"/>
    <x v="6"/>
    <x v="2"/>
    <n v="250002"/>
    <s v="ابوالفضل"/>
    <x v="1"/>
    <x v="1"/>
    <x v="21"/>
    <n v="6.1000000000000004E-3"/>
    <n v="262178000.00000003"/>
  </r>
  <r>
    <n v="45"/>
    <n v="7"/>
    <x v="6"/>
    <x v="2"/>
    <n v="250003"/>
    <s v="احسان"/>
    <x v="2"/>
    <x v="2"/>
    <x v="41"/>
    <n v="4.8999999999999998E-3"/>
    <n v="238091000"/>
  </r>
  <r>
    <n v="46"/>
    <n v="7"/>
    <x v="6"/>
    <x v="2"/>
    <n v="250004"/>
    <s v="احمد"/>
    <x v="3"/>
    <x v="3"/>
    <x v="42"/>
    <n v="4.7999999999999996E-3"/>
    <n v="143280000"/>
  </r>
  <r>
    <n v="47"/>
    <n v="7"/>
    <x v="6"/>
    <x v="2"/>
    <n v="250014"/>
    <s v="الهام"/>
    <x v="4"/>
    <x v="4"/>
    <x v="43"/>
    <n v="1.4E-3"/>
    <n v="602812000"/>
  </r>
  <r>
    <n v="48"/>
    <n v="7"/>
    <x v="6"/>
    <x v="2"/>
    <n v="250022"/>
    <s v="امیر حسین"/>
    <x v="5"/>
    <x v="5"/>
    <x v="44"/>
    <n v="2.0999999999999999E-3"/>
    <n v="292992000"/>
  </r>
  <r>
    <n v="49"/>
    <n v="7"/>
    <x v="6"/>
    <x v="2"/>
    <n v="250023"/>
    <s v="امیر محمد"/>
    <x v="6"/>
    <x v="6"/>
    <x v="45"/>
    <n v="2.0999999999999999E-3"/>
    <n v="291333000"/>
  </r>
  <r>
    <n v="50"/>
    <n v="8"/>
    <x v="7"/>
    <x v="2"/>
    <n v="250001"/>
    <s v="ابوالفضل"/>
    <x v="0"/>
    <x v="0"/>
    <x v="46"/>
    <n v="5.0000000000000001E-3"/>
    <n v="231500000"/>
  </r>
  <r>
    <n v="51"/>
    <n v="8"/>
    <x v="7"/>
    <x v="2"/>
    <n v="250002"/>
    <s v="ابوالفضل"/>
    <x v="1"/>
    <x v="1"/>
    <x v="47"/>
    <n v="6.1000000000000004E-3"/>
    <n v="177083000"/>
  </r>
  <r>
    <n v="52"/>
    <n v="8"/>
    <x v="7"/>
    <x v="2"/>
    <n v="250003"/>
    <s v="احسان"/>
    <x v="2"/>
    <x v="2"/>
    <x v="48"/>
    <n v="4.8999999999999998E-3"/>
    <n v="105938000"/>
  </r>
  <r>
    <n v="53"/>
    <n v="8"/>
    <x v="7"/>
    <x v="2"/>
    <n v="250004"/>
    <s v="احمد"/>
    <x v="3"/>
    <x v="3"/>
    <x v="49"/>
    <n v="4.7999999999999996E-3"/>
    <n v="283536000"/>
  </r>
  <r>
    <n v="54"/>
    <n v="8"/>
    <x v="7"/>
    <x v="2"/>
    <n v="250014"/>
    <s v="الهام"/>
    <x v="4"/>
    <x v="4"/>
    <x v="50"/>
    <n v="1.4E-3"/>
    <n v="703024000"/>
  </r>
  <r>
    <n v="55"/>
    <n v="8"/>
    <x v="7"/>
    <x v="2"/>
    <n v="250022"/>
    <s v="امیر حسین"/>
    <x v="5"/>
    <x v="5"/>
    <x v="51"/>
    <n v="2.0999999999999999E-3"/>
    <n v="463344000"/>
  </r>
  <r>
    <n v="56"/>
    <n v="8"/>
    <x v="7"/>
    <x v="2"/>
    <n v="250023"/>
    <s v="امیر محمد"/>
    <x v="6"/>
    <x v="6"/>
    <x v="52"/>
    <n v="2.0999999999999999E-3"/>
    <n v="494549999.99999994"/>
  </r>
  <r>
    <n v="57"/>
    <n v="9"/>
    <x v="8"/>
    <x v="2"/>
    <n v="250001"/>
    <s v="ابوالفضل"/>
    <x v="0"/>
    <x v="0"/>
    <x v="53"/>
    <n v="5.0000000000000001E-3"/>
    <n v="129100000"/>
  </r>
  <r>
    <n v="58"/>
    <n v="9"/>
    <x v="8"/>
    <x v="2"/>
    <n v="250002"/>
    <s v="ابوالفضل"/>
    <x v="1"/>
    <x v="1"/>
    <x v="54"/>
    <n v="6.1000000000000004E-3"/>
    <n v="205448000"/>
  </r>
  <r>
    <n v="59"/>
    <n v="9"/>
    <x v="8"/>
    <x v="2"/>
    <n v="250003"/>
    <s v="احسان"/>
    <x v="2"/>
    <x v="2"/>
    <x v="55"/>
    <n v="4.8999999999999998E-3"/>
    <n v="234612000"/>
  </r>
  <r>
    <n v="60"/>
    <n v="9"/>
    <x v="8"/>
    <x v="2"/>
    <n v="250004"/>
    <s v="احمد"/>
    <x v="3"/>
    <x v="3"/>
    <x v="56"/>
    <n v="4.7999999999999996E-3"/>
    <n v="211487999.99999997"/>
  </r>
  <r>
    <n v="61"/>
    <n v="9"/>
    <x v="8"/>
    <x v="2"/>
    <n v="250014"/>
    <s v="الهام"/>
    <x v="4"/>
    <x v="4"/>
    <x v="57"/>
    <n v="1.4E-3"/>
    <n v="659078000"/>
  </r>
  <r>
    <n v="62"/>
    <n v="9"/>
    <x v="8"/>
    <x v="2"/>
    <n v="250022"/>
    <s v="امیر حسین"/>
    <x v="5"/>
    <x v="5"/>
    <x v="58"/>
    <n v="2.0999999999999999E-3"/>
    <n v="678699000"/>
  </r>
  <r>
    <n v="63"/>
    <n v="9"/>
    <x v="8"/>
    <x v="2"/>
    <n v="250023"/>
    <s v="امیر محمد"/>
    <x v="6"/>
    <x v="6"/>
    <x v="59"/>
    <n v="2.0999999999999999E-3"/>
    <n v="400092000"/>
  </r>
  <r>
    <n v="64"/>
    <n v="10"/>
    <x v="9"/>
    <x v="3"/>
    <n v="250001"/>
    <s v="ابوالفضل"/>
    <x v="0"/>
    <x v="0"/>
    <x v="60"/>
    <n v="5.0000000000000001E-3"/>
    <n v="206700000"/>
  </r>
  <r>
    <n v="65"/>
    <n v="10"/>
    <x v="9"/>
    <x v="3"/>
    <n v="250002"/>
    <s v="ابوالفضل"/>
    <x v="1"/>
    <x v="1"/>
    <x v="61"/>
    <n v="6.1000000000000004E-3"/>
    <n v="143411000"/>
  </r>
  <r>
    <n v="66"/>
    <n v="10"/>
    <x v="9"/>
    <x v="3"/>
    <n v="250003"/>
    <s v="احسان"/>
    <x v="2"/>
    <x v="2"/>
    <x v="62"/>
    <n v="4.8999999999999998E-3"/>
    <n v="139160000"/>
  </r>
  <r>
    <n v="67"/>
    <n v="10"/>
    <x v="9"/>
    <x v="3"/>
    <n v="250004"/>
    <s v="احمد"/>
    <x v="3"/>
    <x v="3"/>
    <x v="63"/>
    <n v="4.7999999999999996E-3"/>
    <n v="202895999.99999997"/>
  </r>
  <r>
    <n v="68"/>
    <n v="10"/>
    <x v="9"/>
    <x v="3"/>
    <n v="250014"/>
    <s v="الهام"/>
    <x v="4"/>
    <x v="4"/>
    <x v="64"/>
    <n v="1.4E-3"/>
    <n v="468412000"/>
  </r>
  <r>
    <n v="69"/>
    <n v="10"/>
    <x v="9"/>
    <x v="3"/>
    <n v="250022"/>
    <s v="امیر حسین"/>
    <x v="5"/>
    <x v="5"/>
    <x v="65"/>
    <n v="2.0999999999999999E-3"/>
    <n v="670950000"/>
  </r>
  <r>
    <n v="70"/>
    <n v="10"/>
    <x v="9"/>
    <x v="3"/>
    <n v="250023"/>
    <s v="امیر محمد"/>
    <x v="6"/>
    <x v="6"/>
    <x v="66"/>
    <n v="2.0999999999999999E-3"/>
    <n v="429345000"/>
  </r>
  <r>
    <n v="71"/>
    <n v="11"/>
    <x v="10"/>
    <x v="3"/>
    <n v="250001"/>
    <s v="ابوالفضل"/>
    <x v="0"/>
    <x v="0"/>
    <x v="67"/>
    <n v="5.0000000000000001E-3"/>
    <n v="130200000"/>
  </r>
  <r>
    <n v="72"/>
    <n v="11"/>
    <x v="10"/>
    <x v="3"/>
    <n v="250002"/>
    <s v="ابوالفضل"/>
    <x v="1"/>
    <x v="1"/>
    <x v="68"/>
    <n v="6.1000000000000004E-3"/>
    <n v="318481000"/>
  </r>
  <r>
    <n v="73"/>
    <n v="11"/>
    <x v="10"/>
    <x v="3"/>
    <n v="250003"/>
    <s v="احسان"/>
    <x v="2"/>
    <x v="2"/>
    <x v="69"/>
    <n v="4.8999999999999998E-3"/>
    <n v="164395000"/>
  </r>
  <r>
    <n v="74"/>
    <n v="11"/>
    <x v="10"/>
    <x v="3"/>
    <n v="250004"/>
    <s v="احمد"/>
    <x v="3"/>
    <x v="3"/>
    <x v="70"/>
    <n v="4.7999999999999996E-3"/>
    <n v="172607999.99999997"/>
  </r>
  <r>
    <n v="75"/>
    <n v="11"/>
    <x v="10"/>
    <x v="3"/>
    <n v="250014"/>
    <s v="الهام"/>
    <x v="4"/>
    <x v="4"/>
    <x v="71"/>
    <n v="1.4E-3"/>
    <n v="421764000"/>
  </r>
  <r>
    <n v="76"/>
    <n v="11"/>
    <x v="10"/>
    <x v="3"/>
    <n v="250022"/>
    <s v="امیر حسین"/>
    <x v="5"/>
    <x v="5"/>
    <x v="72"/>
    <n v="2.0999999999999999E-3"/>
    <n v="503516999.99999994"/>
  </r>
  <r>
    <n v="77"/>
    <n v="11"/>
    <x v="10"/>
    <x v="3"/>
    <n v="250023"/>
    <s v="امیر محمد"/>
    <x v="6"/>
    <x v="6"/>
    <x v="73"/>
    <n v="2.0999999999999999E-3"/>
    <n v="506939999.99999994"/>
  </r>
  <r>
    <n v="78"/>
    <n v="12"/>
    <x v="11"/>
    <x v="3"/>
    <n v="250001"/>
    <s v="ابوالفضل"/>
    <x v="0"/>
    <x v="0"/>
    <x v="74"/>
    <n v="5.0000000000000001E-3"/>
    <n v="155650000"/>
  </r>
  <r>
    <n v="79"/>
    <n v="12"/>
    <x v="11"/>
    <x v="3"/>
    <n v="250002"/>
    <s v="ابوالفضل"/>
    <x v="1"/>
    <x v="1"/>
    <x v="75"/>
    <n v="6.1000000000000004E-3"/>
    <n v="233099300"/>
  </r>
  <r>
    <n v="80"/>
    <n v="12"/>
    <x v="11"/>
    <x v="3"/>
    <n v="250003"/>
    <s v="احسان"/>
    <x v="2"/>
    <x v="2"/>
    <x v="76"/>
    <n v="4.8999999999999998E-3"/>
    <n v="206045000"/>
  </r>
  <r>
    <n v="81"/>
    <n v="12"/>
    <x v="11"/>
    <x v="3"/>
    <n v="250004"/>
    <s v="احمد"/>
    <x v="3"/>
    <x v="3"/>
    <x v="77"/>
    <n v="4.7999999999999996E-3"/>
    <n v="268704000"/>
  </r>
  <r>
    <n v="82"/>
    <n v="12"/>
    <x v="11"/>
    <x v="3"/>
    <n v="250014"/>
    <s v="الهام"/>
    <x v="4"/>
    <x v="4"/>
    <x v="78"/>
    <n v="1.4E-3"/>
    <n v="588490000"/>
  </r>
  <r>
    <n v="83"/>
    <n v="12"/>
    <x v="11"/>
    <x v="3"/>
    <n v="250022"/>
    <s v="امیر حسین"/>
    <x v="5"/>
    <x v="5"/>
    <x v="79"/>
    <n v="2.0999999999999999E-3"/>
    <n v="410739000"/>
  </r>
  <r>
    <n v="84"/>
    <n v="12"/>
    <x v="11"/>
    <x v="3"/>
    <n v="250023"/>
    <s v="امیر محمد"/>
    <x v="6"/>
    <x v="6"/>
    <x v="80"/>
    <n v="2.0999999999999999E-3"/>
    <n v="485414999.999999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FBC750F-2049-4B20-A068-C559D3BFD8D5}"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I8:J11" firstHeaderRow="1" firstDataRow="1" firstDataCol="1"/>
  <pivotFields count="14">
    <pivotField showAll="0"/>
    <pivotField showAll="0"/>
    <pivotField showAll="0"/>
    <pivotField axis="axisRow" showAll="0">
      <items count="3">
        <item x="0"/>
        <item x="1"/>
        <item t="default"/>
      </items>
    </pivotField>
    <pivotField showAll="0"/>
    <pivotField showAll="0"/>
    <pivotField showAll="0"/>
    <pivotField dataField="1" showAll="0"/>
    <pivotField showAll="0"/>
    <pivotField showAll="0"/>
    <pivotField showAll="0"/>
    <pivotField showAll="0"/>
    <pivotField showAll="0"/>
    <pivotField showAll="0"/>
  </pivotFields>
  <rowFields count="1">
    <field x="3"/>
  </rowFields>
  <rowItems count="3">
    <i>
      <x/>
    </i>
    <i>
      <x v="1"/>
    </i>
    <i t="grand">
      <x/>
    </i>
  </rowItems>
  <colItems count="1">
    <i/>
  </colItems>
  <dataFields count="1">
    <dataField name="Count of کد ملی" fld="7" subtotal="count" baseField="3" baseItem="0"/>
  </dataFields>
  <chartFormats count="10">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3" count="1" selected="0">
            <x v="0"/>
          </reference>
        </references>
      </pivotArea>
    </chartFormat>
    <chartFormat chart="1" format="3">
      <pivotArea type="data" outline="0" fieldPosition="0">
        <references count="2">
          <reference field="4294967294" count="1" selected="0">
            <x v="0"/>
          </reference>
          <reference field="3"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3" count="1" selected="0">
            <x v="0"/>
          </reference>
        </references>
      </pivotArea>
    </chartFormat>
    <chartFormat chart="2" format="6">
      <pivotArea type="data" outline="0" fieldPosition="0">
        <references count="2">
          <reference field="4294967294" count="1" selected="0">
            <x v="0"/>
          </reference>
          <reference field="3" count="1" selected="0">
            <x v="1"/>
          </reference>
        </references>
      </pivotArea>
    </chartFormat>
    <chartFormat chart="2" format="8" series="1">
      <pivotArea type="data" outline="0" fieldPosition="0">
        <references count="2">
          <reference field="4294967294" count="1" selected="0">
            <x v="0"/>
          </reference>
          <reference field="3" count="1" selected="0">
            <x v="1"/>
          </reference>
        </references>
      </pivotArea>
    </chartFormat>
    <chartFormat chart="1" format="5"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5DDA1A1-989B-4C9F-A84E-147292F7B79C}"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D3:G11" firstHeaderRow="1" firstDataRow="2" firstDataCol="1"/>
  <pivotFields count="14">
    <pivotField showAll="0"/>
    <pivotField dataField="1" showAll="0"/>
    <pivotField showAll="0"/>
    <pivotField showAll="0"/>
    <pivotField showAll="0"/>
    <pivotField showAll="0"/>
    <pivotField showAll="0"/>
    <pivotField showAll="0"/>
    <pivotField showAll="0"/>
    <pivotField showAll="0"/>
    <pivotField showAll="0"/>
    <pivotField showAll="0"/>
    <pivotField axis="axisCol" showAll="0">
      <items count="3">
        <item x="1"/>
        <item x="0"/>
        <item t="default"/>
      </items>
    </pivotField>
    <pivotField axis="axisRow" showAll="0">
      <items count="8">
        <item x="5"/>
        <item x="3"/>
        <item x="1"/>
        <item x="2"/>
        <item x="0"/>
        <item x="4"/>
        <item m="1" x="6"/>
        <item t="default"/>
      </items>
    </pivotField>
  </pivotFields>
  <rowFields count="1">
    <field x="13"/>
  </rowFields>
  <rowItems count="7">
    <i>
      <x/>
    </i>
    <i>
      <x v="1"/>
    </i>
    <i>
      <x v="2"/>
    </i>
    <i>
      <x v="3"/>
    </i>
    <i>
      <x v="4"/>
    </i>
    <i>
      <x v="5"/>
    </i>
    <i t="grand">
      <x/>
    </i>
  </rowItems>
  <colFields count="1">
    <field x="12"/>
  </colFields>
  <colItems count="3">
    <i>
      <x/>
    </i>
    <i>
      <x v="1"/>
    </i>
    <i t="grand">
      <x/>
    </i>
  </colItems>
  <dataFields count="1">
    <dataField name="Count of شماره پرسنلی" fld="1" subtotal="count" baseField="13" baseItem="0"/>
  </dataFields>
  <chartFormats count="6">
    <chartFormat chart="3" format="4" series="1">
      <pivotArea type="data" outline="0" fieldPosition="0">
        <references count="2">
          <reference field="4294967294" count="1" selected="0">
            <x v="0"/>
          </reference>
          <reference field="12" count="1" selected="0">
            <x v="0"/>
          </reference>
        </references>
      </pivotArea>
    </chartFormat>
    <chartFormat chart="3" format="5" series="1">
      <pivotArea type="data" outline="0" fieldPosition="0">
        <references count="2">
          <reference field="4294967294" count="1" selected="0">
            <x v="0"/>
          </reference>
          <reference field="12" count="1" selected="0">
            <x v="1"/>
          </reference>
        </references>
      </pivotArea>
    </chartFormat>
    <chartFormat chart="3" format="6">
      <pivotArea type="data" outline="0" fieldPosition="0">
        <references count="3">
          <reference field="4294967294" count="1" selected="0">
            <x v="0"/>
          </reference>
          <reference field="12" count="1" selected="0">
            <x v="1"/>
          </reference>
          <reference field="13" count="1" selected="0">
            <x v="3"/>
          </reference>
        </references>
      </pivotArea>
    </chartFormat>
    <chartFormat chart="3" format="7">
      <pivotArea type="data" outline="0" fieldPosition="0">
        <references count="3">
          <reference field="4294967294" count="1" selected="0">
            <x v="0"/>
          </reference>
          <reference field="12" count="1" selected="0">
            <x v="1"/>
          </reference>
          <reference field="13" count="1" selected="0">
            <x v="1"/>
          </reference>
        </references>
      </pivotArea>
    </chartFormat>
    <chartFormat chart="3" format="8">
      <pivotArea type="data" outline="0" fieldPosition="0">
        <references count="3">
          <reference field="4294967294" count="1" selected="0">
            <x v="0"/>
          </reference>
          <reference field="12" count="1" selected="0">
            <x v="0"/>
          </reference>
          <reference field="13" count="1" selected="0">
            <x v="2"/>
          </reference>
        </references>
      </pivotArea>
    </chartFormat>
    <chartFormat chart="3" format="9">
      <pivotArea type="data" outline="0" fieldPosition="0">
        <references count="3">
          <reference field="4294967294" count="1" selected="0">
            <x v="0"/>
          </reference>
          <reference field="12" count="1" selected="0">
            <x v="0"/>
          </reference>
          <reference field="1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EA13E74-FA10-4D78-B260-689488403A58}"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0" firstHeaderRow="1" firstDataRow="1" firstDataCol="1"/>
  <pivotFields count="14">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axis="axisRow" showAll="0" sortType="ascending">
      <items count="8">
        <item x="5"/>
        <item x="3"/>
        <item x="1"/>
        <item x="2"/>
        <item x="0"/>
        <item x="4"/>
        <item m="1" x="6"/>
        <item t="default"/>
      </items>
    </pivotField>
  </pivotFields>
  <rowFields count="1">
    <field x="13"/>
  </rowFields>
  <rowItems count="7">
    <i>
      <x/>
    </i>
    <i>
      <x v="1"/>
    </i>
    <i>
      <x v="2"/>
    </i>
    <i>
      <x v="3"/>
    </i>
    <i>
      <x v="4"/>
    </i>
    <i>
      <x v="5"/>
    </i>
    <i t="grand">
      <x/>
    </i>
  </rowItems>
  <colItems count="1">
    <i/>
  </colItems>
  <dataFields count="1">
    <dataField name="Count of کد ملی" fld="7" subtotal="count" baseField="13" baseItem="5"/>
  </dataFields>
  <chartFormats count="7">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3" count="1" selected="0">
            <x v="4"/>
          </reference>
        </references>
      </pivotArea>
    </chartFormat>
    <chartFormat chart="3" format="4">
      <pivotArea type="data" outline="0" fieldPosition="0">
        <references count="2">
          <reference field="4294967294" count="1" selected="0">
            <x v="0"/>
          </reference>
          <reference field="13" count="1" selected="0">
            <x v="3"/>
          </reference>
        </references>
      </pivotArea>
    </chartFormat>
    <chartFormat chart="3" format="5">
      <pivotArea type="data" outline="0" fieldPosition="0">
        <references count="2">
          <reference field="4294967294" count="1" selected="0">
            <x v="0"/>
          </reference>
          <reference field="13" count="1" selected="0">
            <x v="2"/>
          </reference>
        </references>
      </pivotArea>
    </chartFormat>
    <chartFormat chart="3" format="6">
      <pivotArea type="data" outline="0" fieldPosition="0">
        <references count="2">
          <reference field="4294967294" count="1" selected="0">
            <x v="0"/>
          </reference>
          <reference field="13" count="1" selected="0">
            <x v="1"/>
          </reference>
        </references>
      </pivotArea>
    </chartFormat>
    <chartFormat chart="3" format="7">
      <pivotArea type="data" outline="0" fieldPosition="0">
        <references count="2">
          <reference field="4294967294" count="1" selected="0">
            <x v="0"/>
          </reference>
          <reference field="13" count="1" selected="0">
            <x v="0"/>
          </reference>
        </references>
      </pivotArea>
    </chartFormat>
    <chartFormat chart="3" format="8">
      <pivotArea type="data" outline="0" fieldPosition="0">
        <references count="2">
          <reference field="4294967294" count="1" selected="0">
            <x v="0"/>
          </reference>
          <reference field="13"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E1DD738-8ACA-406B-AF07-D82A73C29F48}" name="PivotTable11" cacheId="1" applyNumberFormats="0" applyBorderFormats="0" applyFontFormats="0" applyPatternFormats="0" applyAlignmentFormats="0" applyWidthHeightFormats="1" dataCaption="Values" grandTotalCaption="Grand Total" updatedVersion="8" minRefreshableVersion="3" useAutoFormatting="1" itemPrintTitles="1" createdVersion="8" indent="0" outline="1" outlineData="1" multipleFieldFilters="0" chartFormat="4">
  <location ref="Q3:AD6" firstHeaderRow="1" firstDataRow="2" firstDataCol="1"/>
  <pivotFields count="11">
    <pivotField showAll="0"/>
    <pivotField showAll="0"/>
    <pivotField axis="axisCol" showAll="0">
      <items count="25">
        <item x="0"/>
        <item x="1"/>
        <item x="2"/>
        <item x="3"/>
        <item x="4"/>
        <item x="5"/>
        <item x="6"/>
        <item x="7"/>
        <item x="8"/>
        <item x="9"/>
        <item x="10"/>
        <item x="11"/>
        <item m="1" x="14"/>
        <item m="1" x="12"/>
        <item m="1" x="19"/>
        <item m="1" x="15"/>
        <item m="1" x="20"/>
        <item m="1" x="22"/>
        <item m="1" x="21"/>
        <item m="1" x="18"/>
        <item m="1" x="13"/>
        <item m="1" x="16"/>
        <item m="1" x="17"/>
        <item m="1" x="23"/>
        <item t="default"/>
      </items>
    </pivotField>
    <pivotField showAll="0"/>
    <pivotField showAll="0"/>
    <pivotField showAll="0"/>
    <pivotField axis="axisRow" showAll="0">
      <items count="8">
        <item h="1" x="6"/>
        <item h="1" x="5"/>
        <item x="4"/>
        <item h="1" x="3"/>
        <item h="1" x="2"/>
        <item h="1" x="1"/>
        <item h="1" x="0"/>
        <item t="default"/>
      </items>
    </pivotField>
    <pivotField showAll="0"/>
    <pivotField dataField="1" numFmtId="3" showAll="0">
      <items count="82">
        <item x="48"/>
        <item x="35"/>
        <item x="61"/>
        <item x="26"/>
        <item x="53"/>
        <item x="29"/>
        <item x="67"/>
        <item x="22"/>
        <item x="62"/>
        <item x="47"/>
        <item x="42"/>
        <item x="33"/>
        <item x="74"/>
        <item x="28"/>
        <item x="14"/>
        <item x="69"/>
        <item x="54"/>
        <item x="40"/>
        <item x="13"/>
        <item x="70"/>
        <item x="20"/>
        <item x="75"/>
        <item x="15"/>
        <item x="7"/>
        <item x="19"/>
        <item x="60"/>
        <item x="76"/>
        <item x="63"/>
        <item x="9"/>
        <item x="1"/>
        <item x="21"/>
        <item x="56"/>
        <item x="46"/>
        <item x="27"/>
        <item x="55"/>
        <item x="41"/>
        <item x="8"/>
        <item x="34"/>
        <item x="68"/>
        <item x="77"/>
        <item x="3"/>
        <item x="0"/>
        <item x="49"/>
        <item x="36"/>
        <item x="2"/>
        <item x="45"/>
        <item x="44"/>
        <item x="24"/>
        <item x="17"/>
        <item x="18"/>
        <item x="38"/>
        <item x="6"/>
        <item x="11"/>
        <item x="59"/>
        <item x="12"/>
        <item x="79"/>
        <item x="66"/>
        <item x="31"/>
        <item x="25"/>
        <item x="5"/>
        <item x="51"/>
        <item x="32"/>
        <item x="80"/>
        <item x="52"/>
        <item x="72"/>
        <item x="73"/>
        <item x="71"/>
        <item x="23"/>
        <item x="39"/>
        <item x="65"/>
        <item x="58"/>
        <item x="64"/>
        <item x="30"/>
        <item x="78"/>
        <item x="37"/>
        <item x="43"/>
        <item x="4"/>
        <item x="57"/>
        <item x="50"/>
        <item x="16"/>
        <item x="10"/>
        <item t="default"/>
      </items>
    </pivotField>
    <pivotField numFmtId="10" showAll="0"/>
    <pivotField numFmtId="3" showAll="0"/>
  </pivotFields>
  <rowFields count="1">
    <field x="6"/>
  </rowFields>
  <rowItems count="2">
    <i>
      <x v="2"/>
    </i>
    <i t="grand">
      <x/>
    </i>
  </rowItems>
  <colFields count="1">
    <field x="2"/>
  </colFields>
  <colItems count="13">
    <i>
      <x/>
    </i>
    <i>
      <x v="1"/>
    </i>
    <i>
      <x v="2"/>
    </i>
    <i>
      <x v="3"/>
    </i>
    <i>
      <x v="4"/>
    </i>
    <i>
      <x v="5"/>
    </i>
    <i>
      <x v="6"/>
    </i>
    <i>
      <x v="7"/>
    </i>
    <i>
      <x v="8"/>
    </i>
    <i>
      <x v="9"/>
    </i>
    <i>
      <x v="10"/>
    </i>
    <i>
      <x v="11"/>
    </i>
    <i t="grand">
      <x/>
    </i>
  </colItems>
  <dataFields count="1">
    <dataField name="Sum of مبلغ (ریال)" fld="8" baseField="6" baseItem="0" numFmtId="164"/>
  </dataFields>
  <formats count="6">
    <format dxfId="5">
      <pivotArea outline="0" collapsedLevelsAreSubtotals="1" fieldPosition="0"/>
    </format>
    <format dxfId="4">
      <pivotArea field="2" type="button" dataOnly="0" labelOnly="1" outline="0" axis="axisCol" fieldPosition="0"/>
    </format>
    <format dxfId="3">
      <pivotArea type="topRight" dataOnly="0" labelOnly="1" outline="0" fieldPosition="0"/>
    </format>
    <format dxfId="2">
      <pivotArea dataOnly="0" labelOnly="1" fieldPosition="0">
        <references count="1">
          <reference field="2" count="0"/>
        </references>
      </pivotArea>
    </format>
    <format dxfId="1">
      <pivotArea dataOnly="0" labelOnly="1" grandCol="1" outline="0" fieldPosition="0"/>
    </format>
    <format dxfId="0">
      <pivotArea outline="0" fieldPosition="0">
        <references count="1">
          <reference field="4294967294" count="1">
            <x v="0"/>
          </reference>
        </references>
      </pivotArea>
    </format>
  </formats>
  <chartFormats count="13">
    <chartFormat chart="3" format="43" series="1">
      <pivotArea type="data" outline="0" fieldPosition="0">
        <references count="2">
          <reference field="4294967294" count="1" selected="0">
            <x v="0"/>
          </reference>
          <reference field="2" count="1" selected="0">
            <x v="0"/>
          </reference>
        </references>
      </pivotArea>
    </chartFormat>
    <chartFormat chart="3" format="44" series="1">
      <pivotArea type="data" outline="0" fieldPosition="0">
        <references count="2">
          <reference field="4294967294" count="1" selected="0">
            <x v="0"/>
          </reference>
          <reference field="2" count="1" selected="0">
            <x v="1"/>
          </reference>
        </references>
      </pivotArea>
    </chartFormat>
    <chartFormat chart="3" format="45" series="1">
      <pivotArea type="data" outline="0" fieldPosition="0">
        <references count="2">
          <reference field="4294967294" count="1" selected="0">
            <x v="0"/>
          </reference>
          <reference field="2" count="1" selected="0">
            <x v="2"/>
          </reference>
        </references>
      </pivotArea>
    </chartFormat>
    <chartFormat chart="3" format="46" series="1">
      <pivotArea type="data" outline="0" fieldPosition="0">
        <references count="2">
          <reference field="4294967294" count="1" selected="0">
            <x v="0"/>
          </reference>
          <reference field="2" count="1" selected="0">
            <x v="3"/>
          </reference>
        </references>
      </pivotArea>
    </chartFormat>
    <chartFormat chart="3" format="47" series="1">
      <pivotArea type="data" outline="0" fieldPosition="0">
        <references count="2">
          <reference field="4294967294" count="1" selected="0">
            <x v="0"/>
          </reference>
          <reference field="2" count="1" selected="0">
            <x v="4"/>
          </reference>
        </references>
      </pivotArea>
    </chartFormat>
    <chartFormat chart="3" format="48" series="1">
      <pivotArea type="data" outline="0" fieldPosition="0">
        <references count="2">
          <reference field="4294967294" count="1" selected="0">
            <x v="0"/>
          </reference>
          <reference field="2" count="1" selected="0">
            <x v="5"/>
          </reference>
        </references>
      </pivotArea>
    </chartFormat>
    <chartFormat chart="3" format="49" series="1">
      <pivotArea type="data" outline="0" fieldPosition="0">
        <references count="2">
          <reference field="4294967294" count="1" selected="0">
            <x v="0"/>
          </reference>
          <reference field="2" count="1" selected="0">
            <x v="6"/>
          </reference>
        </references>
      </pivotArea>
    </chartFormat>
    <chartFormat chart="3" format="50" series="1">
      <pivotArea type="data" outline="0" fieldPosition="0">
        <references count="2">
          <reference field="4294967294" count="1" selected="0">
            <x v="0"/>
          </reference>
          <reference field="2" count="1" selected="0">
            <x v="7"/>
          </reference>
        </references>
      </pivotArea>
    </chartFormat>
    <chartFormat chart="3" format="51" series="1">
      <pivotArea type="data" outline="0" fieldPosition="0">
        <references count="2">
          <reference field="4294967294" count="1" selected="0">
            <x v="0"/>
          </reference>
          <reference field="2" count="1" selected="0">
            <x v="8"/>
          </reference>
        </references>
      </pivotArea>
    </chartFormat>
    <chartFormat chart="3" format="52" series="1">
      <pivotArea type="data" outline="0" fieldPosition="0">
        <references count="2">
          <reference field="4294967294" count="1" selected="0">
            <x v="0"/>
          </reference>
          <reference field="2" count="1" selected="0">
            <x v="9"/>
          </reference>
        </references>
      </pivotArea>
    </chartFormat>
    <chartFormat chart="3" format="53" series="1">
      <pivotArea type="data" outline="0" fieldPosition="0">
        <references count="2">
          <reference field="4294967294" count="1" selected="0">
            <x v="0"/>
          </reference>
          <reference field="2" count="1" selected="0">
            <x v="10"/>
          </reference>
        </references>
      </pivotArea>
    </chartFormat>
    <chartFormat chart="3" format="54" series="1">
      <pivotArea type="data" outline="0" fieldPosition="0">
        <references count="2">
          <reference field="4294967294" count="1" selected="0">
            <x v="0"/>
          </reference>
          <reference field="2" count="1" selected="0">
            <x v="11"/>
          </reference>
        </references>
      </pivotArea>
    </chartFormat>
    <chartFormat chart="3" format="55">
      <pivotArea type="data" outline="0" fieldPosition="0">
        <references count="3">
          <reference field="4294967294" count="1" selected="0">
            <x v="0"/>
          </reference>
          <reference field="2" count="1" selected="0">
            <x v="9"/>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1710F69-7F78-494D-BCC1-9DECDA3B8B1B}"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3:O7" firstHeaderRow="1" firstDataRow="2" firstDataCol="1"/>
  <pivotFields count="14">
    <pivotField showAll="0"/>
    <pivotField dataField="1" showAll="0"/>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axis="axisCol" showAll="0">
      <items count="3">
        <item x="1"/>
        <item x="0"/>
        <item t="default"/>
      </items>
    </pivotField>
    <pivotField showAll="0"/>
  </pivotFields>
  <rowFields count="1">
    <field x="3"/>
  </rowFields>
  <rowItems count="3">
    <i>
      <x/>
    </i>
    <i>
      <x v="1"/>
    </i>
    <i t="grand">
      <x/>
    </i>
  </rowItems>
  <colFields count="1">
    <field x="12"/>
  </colFields>
  <colItems count="3">
    <i>
      <x/>
    </i>
    <i>
      <x v="1"/>
    </i>
    <i t="grand">
      <x/>
    </i>
  </colItems>
  <dataFields count="1">
    <dataField name="Count of شماره پرسنلی" fld="1" subtotal="count"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7BC4A71-80C5-4794-B59C-BFCD7BED15E3}"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I3:J6" firstHeaderRow="1" firstDataRow="1" firstDataCol="1"/>
  <pivotFields count="14">
    <pivotField showAll="0"/>
    <pivotField dataField="1" showAll="0"/>
    <pivotField showAll="0"/>
    <pivotField showAll="0">
      <items count="3">
        <item x="0"/>
        <item x="1"/>
        <item t="default"/>
      </items>
    </pivotField>
    <pivotField showAll="0"/>
    <pivotField showAll="0"/>
    <pivotField showAll="0"/>
    <pivotField showAll="0">
      <items count="151">
        <item x="59"/>
        <item x="21"/>
        <item x="2"/>
        <item x="87"/>
        <item x="70"/>
        <item x="140"/>
        <item x="118"/>
        <item x="3"/>
        <item x="121"/>
        <item x="89"/>
        <item x="109"/>
        <item x="17"/>
        <item x="104"/>
        <item x="96"/>
        <item x="46"/>
        <item x="145"/>
        <item x="11"/>
        <item x="137"/>
        <item x="99"/>
        <item x="143"/>
        <item x="10"/>
        <item x="57"/>
        <item x="123"/>
        <item x="75"/>
        <item x="43"/>
        <item x="1"/>
        <item x="146"/>
        <item x="86"/>
        <item x="126"/>
        <item x="67"/>
        <item x="144"/>
        <item x="72"/>
        <item x="12"/>
        <item x="102"/>
        <item x="114"/>
        <item x="16"/>
        <item x="124"/>
        <item x="44"/>
        <item x="103"/>
        <item x="13"/>
        <item x="98"/>
        <item x="91"/>
        <item x="133"/>
        <item x="52"/>
        <item x="111"/>
        <item x="142"/>
        <item x="32"/>
        <item x="84"/>
        <item x="134"/>
        <item x="119"/>
        <item x="65"/>
        <item x="77"/>
        <item x="27"/>
        <item x="61"/>
        <item x="90"/>
        <item x="4"/>
        <item x="64"/>
        <item x="9"/>
        <item x="18"/>
        <item x="128"/>
        <item x="0"/>
        <item x="101"/>
        <item x="49"/>
        <item x="31"/>
        <item x="141"/>
        <item x="115"/>
        <item x="93"/>
        <item x="130"/>
        <item x="24"/>
        <item x="63"/>
        <item x="54"/>
        <item x="55"/>
        <item x="33"/>
        <item x="100"/>
        <item x="22"/>
        <item x="82"/>
        <item x="8"/>
        <item x="79"/>
        <item x="42"/>
        <item x="62"/>
        <item x="78"/>
        <item x="56"/>
        <item x="25"/>
        <item x="97"/>
        <item x="147"/>
        <item x="29"/>
        <item x="38"/>
        <item x="51"/>
        <item x="41"/>
        <item x="116"/>
        <item x="20"/>
        <item x="106"/>
        <item x="19"/>
        <item x="83"/>
        <item x="69"/>
        <item x="40"/>
        <item x="94"/>
        <item x="14"/>
        <item x="138"/>
        <item x="113"/>
        <item x="34"/>
        <item x="122"/>
        <item x="110"/>
        <item x="45"/>
        <item x="108"/>
        <item x="74"/>
        <item x="60"/>
        <item x="53"/>
        <item x="58"/>
        <item x="148"/>
        <item x="71"/>
        <item x="81"/>
        <item x="136"/>
        <item x="39"/>
        <item x="66"/>
        <item x="135"/>
        <item x="30"/>
        <item x="127"/>
        <item x="50"/>
        <item x="131"/>
        <item x="105"/>
        <item x="35"/>
        <item x="68"/>
        <item x="85"/>
        <item x="107"/>
        <item x="120"/>
        <item x="23"/>
        <item x="7"/>
        <item x="129"/>
        <item x="88"/>
        <item x="28"/>
        <item x="117"/>
        <item x="76"/>
        <item x="47"/>
        <item x="48"/>
        <item x="26"/>
        <item x="92"/>
        <item x="80"/>
        <item x="37"/>
        <item x="125"/>
        <item x="6"/>
        <item x="112"/>
        <item x="132"/>
        <item x="36"/>
        <item x="5"/>
        <item x="95"/>
        <item x="15"/>
        <item x="149"/>
        <item x="73"/>
        <item x="139"/>
        <item t="default"/>
      </items>
    </pivotField>
    <pivotField showAll="0"/>
    <pivotField showAll="0"/>
    <pivotField showAll="0"/>
    <pivotField showAll="0"/>
    <pivotField axis="axisRow" showAll="0">
      <items count="3">
        <item x="1"/>
        <item x="0"/>
        <item t="default"/>
      </items>
    </pivotField>
    <pivotField showAll="0"/>
  </pivotFields>
  <rowFields count="1">
    <field x="12"/>
  </rowFields>
  <rowItems count="3">
    <i>
      <x/>
    </i>
    <i>
      <x v="1"/>
    </i>
    <i t="grand">
      <x/>
    </i>
  </rowItems>
  <colItems count="1">
    <i/>
  </colItems>
  <dataFields count="1">
    <dataField name="Count of شماره پرسنلی" fld="1" subtotal="count" baseField="12" baseItem="0"/>
  </dataField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12" count="1" selected="0">
            <x v="0"/>
          </reference>
        </references>
      </pivotArea>
    </chartFormat>
    <chartFormat chart="3" format="6">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نام_خانوادگی2" xr10:uid="{F8022424-6D08-4A66-B129-7420015D4AB4}" sourceName="نام خانوادگی">
  <pivotTables>
    <pivotTable tabId="9" name="PivotTable11"/>
  </pivotTables>
  <data>
    <tabular pivotCacheId="24087048">
      <items count="7">
        <i x="6"/>
        <i x="5"/>
        <i x="4" s="1"/>
        <i x="3"/>
        <i x="2"/>
        <i x="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نام خانوادگی 2" xr10:uid="{61181857-4175-4CE7-B1C2-B62C67FA6282}" cache="Slicer_نام_خانوادگی2" caption="نام خانوادگی" columnCount="7" showCaption="0" style="Slicer Style 3" rowHeight="23336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84C527D-7A65-4325-8FBB-50922823F713}" name="Table2" displayName="Table2" ref="A1:K85" totalsRowShown="0" headerRowDxfId="40" dataDxfId="38" headerRowBorderDxfId="39" tableBorderDxfId="37" totalsRowBorderDxfId="36">
  <autoFilter ref="A1:K85" xr:uid="{784C527D-7A65-4325-8FBB-50922823F713}"/>
  <tableColumns count="11">
    <tableColumn id="1" xr3:uid="{FA4F9E38-B8A5-47E3-9F61-285382CDD560}" name="ردیف" dataDxfId="35"/>
    <tableColumn id="9" xr3:uid="{7D5F4E68-CA97-409B-A1E8-30C67A15376F}" name="جهت سورت ماه" dataDxfId="34"/>
    <tableColumn id="2" xr3:uid="{947E3F59-0DA0-4F5E-BB38-46FDCE8746FA}" name="ماه" dataDxfId="33"/>
    <tableColumn id="11" xr3:uid="{D5551388-671B-4F02-AD42-EC2ED94565E4}" name="فصل" dataDxfId="32"/>
    <tableColumn id="3" xr3:uid="{7FE57529-BE39-4CEF-A5E1-C7A628681845}" name="شماره پرسنلی" dataDxfId="31"/>
    <tableColumn id="4" xr3:uid="{CCA7A898-1101-4655-AAAD-3667BD029F90}" name="نام " dataDxfId="30"/>
    <tableColumn id="5" xr3:uid="{C143E0D7-7E13-4F1A-BC77-7BF2BC158227}" name="نام خانوادگی" dataDxfId="29"/>
    <tableColumn id="10" xr3:uid="{C6DC6810-BF48-4758-943E-87C1C84E3480}" name="ترکیب نام و نام خانوادگی" dataDxfId="28">
      <calculatedColumnFormula>Table2[[#This Row],[نام ]]&amp;" "&amp;Table2[[#This Row],[نام خانوادگی]]</calculatedColumnFormula>
    </tableColumn>
    <tableColumn id="6" xr3:uid="{9F1CA7F5-ADE9-42F8-A72E-65E5B312AC59}" name="مبلغ (ریال)" dataDxfId="27"/>
    <tableColumn id="7" xr3:uid="{673862DB-B608-473E-B0B6-2741AC91EB2E}" name="درصد فروشنده" dataDxfId="26" dataCellStyle="Percent">
      <calculatedColumnFormula>(RAND()/50)</calculatedColumnFormula>
    </tableColumn>
    <tableColumn id="8" xr3:uid="{A168D6B2-B540-4FB9-9D69-342F2B725C73}" name="پاداش فروشنده" dataDxfId="25">
      <calculatedColumnFormula>Table2[[#This Row],[درصد فروشنده]]*Table2[[#This Row],[مبلغ (ریال)]]</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2614C0D-3522-4F9F-9EC5-C021E0D60FD1}" name="Table1" displayName="Table1" ref="A1:N151" totalsRowShown="0" headerRowDxfId="24" dataDxfId="22" headerRowBorderDxfId="23" tableBorderDxfId="21" totalsRowBorderDxfId="20">
  <autoFilter ref="A1:N151" xr:uid="{A2614C0D-3522-4F9F-9EC5-C021E0D60FD1}"/>
  <tableColumns count="14">
    <tableColumn id="1" xr3:uid="{7B6CD194-7103-4765-9D11-3F79F1D26260}" name="ردیف" dataDxfId="19"/>
    <tableColumn id="2" xr3:uid="{3CA374D1-31E8-4C77-B864-A2A9C8136EB3}" name="شماره پرسنلی" dataDxfId="18"/>
    <tableColumn id="14" xr3:uid="{4F6049A6-4E96-412C-A942-36397D96E8CA}" name="سمت" dataDxfId="17"/>
    <tableColumn id="13" xr3:uid="{05C2F20F-2A8B-4379-8501-307BFF9FCC83}" name="نوع قرارداد" dataDxfId="16"/>
    <tableColumn id="12" xr3:uid="{187605C0-EF9C-494B-BF58-2600F236EAB1}" name="نوع فعالیت" dataDxfId="15"/>
    <tableColumn id="3" xr3:uid="{65B62599-AEE0-49A4-AAEA-08B34C0D572C}" name="نام " dataDxfId="14"/>
    <tableColumn id="4" xr3:uid="{3FBCAE84-60CF-4AD4-8213-13950E1D7966}" name="نام خانوادگی" dataDxfId="13"/>
    <tableColumn id="5" xr3:uid="{AE6FC88F-121B-4638-926B-BB97B4230B98}" name="کد ملی" dataDxfId="12"/>
    <tableColumn id="6" xr3:uid="{485F87C1-6C0C-4897-B436-35968616924E}" name="نام پدر" dataDxfId="11"/>
    <tableColumn id="7" xr3:uid="{B7533F7D-F75B-476D-A60E-FC57F9CA1CE0}" name="تاریخ تولد" dataDxfId="10"/>
    <tableColumn id="10" xr3:uid="{14C1C9DA-31CE-47C2-8B66-6728355FA8FB}" name="ماه تولد" dataDxfId="9">
      <calculatedColumnFormula>MID(Table1[[#This Row],[تاریخ تولد]],6,2)</calculatedColumnFormula>
    </tableColumn>
    <tableColumn id="11" xr3:uid="{E872FAE5-BF88-4A26-AE48-F9592B20C29A}" name="سال تولد" dataDxfId="8">
      <calculatedColumnFormula>MID(Table1[[#This Row],[تاریخ تولد]],6,2)</calculatedColumnFormula>
    </tableColumn>
    <tableColumn id="8" xr3:uid="{4C26524F-07CC-4880-A60F-3E85E7D1D505}" name="جنسیت" dataDxfId="7"/>
    <tableColumn id="9" xr3:uid="{EE9A0148-932C-4F1C-AB56-DC662A8A0C61}" name="مدرک تحصیلی"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67947-7F20-4D58-9311-96F9044096BE}">
  <sheetPr codeName="Sheet2"/>
  <dimension ref="A1:K85"/>
  <sheetViews>
    <sheetView showGridLines="0" rightToLeft="1" topLeftCell="D79" workbookViewId="0">
      <selection activeCell="M2" sqref="M2"/>
    </sheetView>
  </sheetViews>
  <sheetFormatPr defaultColWidth="12.5625" defaultRowHeight="29.25" customHeight="1"/>
  <cols>
    <col min="1" max="1" width="10.6875" bestFit="1" customWidth="1"/>
    <col min="2" max="2" width="16.5625" customWidth="1"/>
    <col min="3" max="3" width="13.6875" bestFit="1" customWidth="1"/>
    <col min="4" max="4" width="13.6875" customWidth="1"/>
    <col min="5" max="5" width="18.875" bestFit="1" customWidth="1"/>
    <col min="6" max="6" width="13.6875" bestFit="1" customWidth="1"/>
    <col min="7" max="7" width="17.4375" bestFit="1" customWidth="1"/>
    <col min="8" max="8" width="20.6875" customWidth="1"/>
    <col min="9" max="9" width="19.4375" style="9" bestFit="1" customWidth="1"/>
    <col min="10" max="10" width="19.4375" style="11" bestFit="1" customWidth="1"/>
    <col min="11" max="11" width="18.875" bestFit="1" customWidth="1"/>
  </cols>
  <sheetData>
    <row r="1" spans="1:11" ht="29.25" customHeight="1">
      <c r="A1" s="4" t="s">
        <v>0</v>
      </c>
      <c r="B1" s="4" t="s">
        <v>507</v>
      </c>
      <c r="C1" s="5" t="s">
        <v>470</v>
      </c>
      <c r="D1" s="5" t="s">
        <v>520</v>
      </c>
      <c r="E1" s="5" t="s">
        <v>469</v>
      </c>
      <c r="F1" s="5" t="s">
        <v>1</v>
      </c>
      <c r="G1" s="5" t="s">
        <v>2</v>
      </c>
      <c r="H1" s="12" t="s">
        <v>519</v>
      </c>
      <c r="I1" s="7" t="s">
        <v>471</v>
      </c>
      <c r="J1" s="10" t="s">
        <v>472</v>
      </c>
      <c r="K1" s="8" t="s">
        <v>505</v>
      </c>
    </row>
    <row r="2" spans="1:11" ht="29.25" customHeight="1">
      <c r="A2" s="18">
        <v>1</v>
      </c>
      <c r="B2" s="18">
        <v>1</v>
      </c>
      <c r="C2" s="19" t="s">
        <v>508</v>
      </c>
      <c r="D2" s="19" t="s">
        <v>521</v>
      </c>
      <c r="E2" s="19">
        <v>250001</v>
      </c>
      <c r="F2" s="19" t="s">
        <v>8</v>
      </c>
      <c r="G2" s="19" t="s">
        <v>110</v>
      </c>
      <c r="H2" s="19" t="str">
        <f>Table2[[#This Row],[نام ]]&amp;" "&amp;Table2[[#This Row],[نام خانوادگی]]</f>
        <v>ابوالفضل یوسفی نژاد</v>
      </c>
      <c r="I2" s="20">
        <v>58990000000</v>
      </c>
      <c r="J2" s="21">
        <v>5.0000000000000001E-3</v>
      </c>
      <c r="K2" s="22">
        <f>Table2[[#This Row],[درصد فروشنده]]*Table2[[#This Row],[مبلغ (ریال)]]</f>
        <v>294950000</v>
      </c>
    </row>
    <row r="3" spans="1:11" ht="29.25" customHeight="1">
      <c r="A3" s="18">
        <v>2</v>
      </c>
      <c r="B3" s="18">
        <v>1</v>
      </c>
      <c r="C3" s="19" t="s">
        <v>508</v>
      </c>
      <c r="D3" s="19" t="s">
        <v>521</v>
      </c>
      <c r="E3" s="19">
        <v>250002</v>
      </c>
      <c r="F3" s="19" t="s">
        <v>8</v>
      </c>
      <c r="G3" s="19" t="s">
        <v>111</v>
      </c>
      <c r="H3" s="19" t="str">
        <f>Table2[[#This Row],[نام ]]&amp;" "&amp;Table2[[#This Row],[نام خانوادگی]]</f>
        <v>ابوالفضل یوسفی</v>
      </c>
      <c r="I3" s="20">
        <v>42500000000</v>
      </c>
      <c r="J3" s="21">
        <v>6.1000000000000004E-3</v>
      </c>
      <c r="K3" s="22">
        <f>Table2[[#This Row],[درصد فروشنده]]*Table2[[#This Row],[مبلغ (ریال)]]</f>
        <v>259250000.00000003</v>
      </c>
    </row>
    <row r="4" spans="1:11" ht="29.25" customHeight="1">
      <c r="A4" s="18">
        <v>3</v>
      </c>
      <c r="B4" s="18">
        <v>1</v>
      </c>
      <c r="C4" s="19" t="s">
        <v>508</v>
      </c>
      <c r="D4" s="19" t="s">
        <v>521</v>
      </c>
      <c r="E4" s="19">
        <v>250003</v>
      </c>
      <c r="F4" s="19" t="s">
        <v>9</v>
      </c>
      <c r="G4" s="19" t="s">
        <v>112</v>
      </c>
      <c r="H4" s="19" t="str">
        <f>Table2[[#This Row],[نام ]]&amp;" "&amp;Table2[[#This Row],[نام خانوادگی]]</f>
        <v>احسان یگانه فر</v>
      </c>
      <c r="I4" s="20">
        <v>67500000000</v>
      </c>
      <c r="J4" s="21">
        <v>4.8999999999999998E-3</v>
      </c>
      <c r="K4" s="22">
        <f>Table2[[#This Row],[درصد فروشنده]]*Table2[[#This Row],[مبلغ (ریال)]]</f>
        <v>330750000</v>
      </c>
    </row>
    <row r="5" spans="1:11" ht="29.25" customHeight="1">
      <c r="A5" s="18">
        <v>4</v>
      </c>
      <c r="B5" s="18">
        <v>1</v>
      </c>
      <c r="C5" s="19" t="s">
        <v>508</v>
      </c>
      <c r="D5" s="19" t="s">
        <v>521</v>
      </c>
      <c r="E5" s="19">
        <v>250004</v>
      </c>
      <c r="F5" s="19" t="s">
        <v>10</v>
      </c>
      <c r="G5" s="19" t="s">
        <v>113</v>
      </c>
      <c r="H5" s="19" t="str">
        <f>Table2[[#This Row],[نام ]]&amp;" "&amp;Table2[[#This Row],[نام خانوادگی]]</f>
        <v>احمد یزدانیان</v>
      </c>
      <c r="I5" s="20">
        <v>56550000000</v>
      </c>
      <c r="J5" s="21">
        <v>4.7999999999999996E-3</v>
      </c>
      <c r="K5" s="22">
        <f>Table2[[#This Row],[درصد فروشنده]]*Table2[[#This Row],[مبلغ (ریال)]]</f>
        <v>271440000</v>
      </c>
    </row>
    <row r="6" spans="1:11" ht="29.25" customHeight="1">
      <c r="A6" s="18">
        <v>5</v>
      </c>
      <c r="B6" s="18">
        <v>1</v>
      </c>
      <c r="C6" s="19" t="s">
        <v>508</v>
      </c>
      <c r="D6" s="19" t="s">
        <v>521</v>
      </c>
      <c r="E6" s="19">
        <v>250014</v>
      </c>
      <c r="F6" s="19" t="s">
        <v>16</v>
      </c>
      <c r="G6" s="19" t="s">
        <v>122</v>
      </c>
      <c r="H6" s="19" t="str">
        <f>Table2[[#This Row],[نام ]]&amp;" "&amp;Table2[[#This Row],[نام خانوادگی]]</f>
        <v>الهام نیک اندیش</v>
      </c>
      <c r="I6" s="20">
        <v>432000000000</v>
      </c>
      <c r="J6" s="21">
        <v>1.4E-3</v>
      </c>
      <c r="K6" s="22">
        <f>Table2[[#This Row],[درصد فروشنده]]*Table2[[#This Row],[مبلغ (ریال)]]</f>
        <v>604800000</v>
      </c>
    </row>
    <row r="7" spans="1:11" ht="29.25" customHeight="1">
      <c r="A7" s="18">
        <v>6</v>
      </c>
      <c r="B7" s="18">
        <v>1</v>
      </c>
      <c r="C7" s="19" t="s">
        <v>508</v>
      </c>
      <c r="D7" s="19" t="s">
        <v>521</v>
      </c>
      <c r="E7" s="19">
        <v>250022</v>
      </c>
      <c r="F7" s="19" t="s">
        <v>21</v>
      </c>
      <c r="G7" s="19" t="s">
        <v>130</v>
      </c>
      <c r="H7" s="19" t="str">
        <f>Table2[[#This Row],[نام ]]&amp;" "&amp;Table2[[#This Row],[نام خانوادگی]]</f>
        <v>امیر حسین نعمتی جرتوده</v>
      </c>
      <c r="I7" s="20">
        <v>217980000000</v>
      </c>
      <c r="J7" s="21">
        <v>2.0999999999999999E-3</v>
      </c>
      <c r="K7" s="22">
        <f>Table2[[#This Row],[درصد فروشنده]]*Table2[[#This Row],[مبلغ (ریال)]]</f>
        <v>457758000</v>
      </c>
    </row>
    <row r="8" spans="1:11" ht="29.25" customHeight="1">
      <c r="A8" s="18">
        <v>7</v>
      </c>
      <c r="B8" s="18">
        <v>1</v>
      </c>
      <c r="C8" s="19" t="s">
        <v>508</v>
      </c>
      <c r="D8" s="19" t="s">
        <v>521</v>
      </c>
      <c r="E8" s="19">
        <v>250023</v>
      </c>
      <c r="F8" s="19" t="s">
        <v>22</v>
      </c>
      <c r="G8" s="19" t="s">
        <v>131</v>
      </c>
      <c r="H8" s="19" t="str">
        <f>Table2[[#This Row],[نام ]]&amp;" "&amp;Table2[[#This Row],[نام خانوادگی]]</f>
        <v>امیر محمد نعمتی</v>
      </c>
      <c r="I8" s="20">
        <v>185000000000</v>
      </c>
      <c r="J8" s="21">
        <v>2.0999999999999999E-3</v>
      </c>
      <c r="K8" s="22">
        <f>Table2[[#This Row],[درصد فروشنده]]*Table2[[#This Row],[مبلغ (ریال)]]</f>
        <v>388500000</v>
      </c>
    </row>
    <row r="9" spans="1:11" ht="29.25" customHeight="1">
      <c r="A9" s="18">
        <v>8</v>
      </c>
      <c r="B9" s="18">
        <v>2</v>
      </c>
      <c r="C9" s="19" t="s">
        <v>509</v>
      </c>
      <c r="D9" s="19" t="s">
        <v>521</v>
      </c>
      <c r="E9" s="19">
        <v>250001</v>
      </c>
      <c r="F9" s="19" t="s">
        <v>8</v>
      </c>
      <c r="G9" s="19" t="s">
        <v>110</v>
      </c>
      <c r="H9" s="19" t="str">
        <f>Table2[[#This Row],[نام ]]&amp;" "&amp;Table2[[#This Row],[نام خانوادگی]]</f>
        <v>ابوالفضل یوسفی نژاد</v>
      </c>
      <c r="I9" s="20">
        <v>39500000000</v>
      </c>
      <c r="J9" s="21">
        <v>5.0000000000000001E-3</v>
      </c>
      <c r="K9" s="22">
        <f>Table2[[#This Row],[درصد فروشنده]]*Table2[[#This Row],[مبلغ (ریال)]]</f>
        <v>197500000</v>
      </c>
    </row>
    <row r="10" spans="1:11" ht="29.25" customHeight="1">
      <c r="A10" s="18">
        <v>9</v>
      </c>
      <c r="B10" s="18">
        <v>2</v>
      </c>
      <c r="C10" s="19" t="s">
        <v>509</v>
      </c>
      <c r="D10" s="19" t="s">
        <v>521</v>
      </c>
      <c r="E10" s="19">
        <v>250002</v>
      </c>
      <c r="F10" s="19" t="s">
        <v>8</v>
      </c>
      <c r="G10" s="19" t="s">
        <v>111</v>
      </c>
      <c r="H10" s="19" t="str">
        <f>Table2[[#This Row],[نام ]]&amp;" "&amp;Table2[[#This Row],[نام خانوادگی]]</f>
        <v>ابوالفضل یوسفی</v>
      </c>
      <c r="I10" s="20">
        <v>48630000000</v>
      </c>
      <c r="J10" s="21">
        <v>6.1000000000000004E-3</v>
      </c>
      <c r="K10" s="22">
        <f>Table2[[#This Row],[درصد فروشنده]]*Table2[[#This Row],[مبلغ (ریال)]]</f>
        <v>296643000</v>
      </c>
    </row>
    <row r="11" spans="1:11" ht="29.25" customHeight="1">
      <c r="A11" s="18">
        <v>10</v>
      </c>
      <c r="B11" s="18">
        <v>2</v>
      </c>
      <c r="C11" s="19" t="s">
        <v>509</v>
      </c>
      <c r="D11" s="19" t="s">
        <v>521</v>
      </c>
      <c r="E11" s="19">
        <v>250003</v>
      </c>
      <c r="F11" s="19" t="s">
        <v>9</v>
      </c>
      <c r="G11" s="19" t="s">
        <v>112</v>
      </c>
      <c r="H11" s="19" t="str">
        <f>Table2[[#This Row],[نام ]]&amp;" "&amp;Table2[[#This Row],[نام خانوادگی]]</f>
        <v>احسان یگانه فر</v>
      </c>
      <c r="I11" s="20">
        <v>67500000000</v>
      </c>
      <c r="J11" s="21">
        <v>4.8999999999999998E-3</v>
      </c>
      <c r="K11" s="22">
        <f>Table2[[#This Row],[درصد فروشنده]]*Table2[[#This Row],[مبلغ (ریال)]]</f>
        <v>330750000</v>
      </c>
    </row>
    <row r="12" spans="1:11" ht="29.25" customHeight="1">
      <c r="A12" s="18">
        <v>11</v>
      </c>
      <c r="B12" s="18">
        <v>2</v>
      </c>
      <c r="C12" s="19" t="s">
        <v>509</v>
      </c>
      <c r="D12" s="19" t="s">
        <v>521</v>
      </c>
      <c r="E12" s="19">
        <v>250004</v>
      </c>
      <c r="F12" s="19" t="s">
        <v>10</v>
      </c>
      <c r="G12" s="19" t="s">
        <v>113</v>
      </c>
      <c r="H12" s="19" t="str">
        <f>Table2[[#This Row],[نام ]]&amp;" "&amp;Table2[[#This Row],[نام خانوادگی]]</f>
        <v>احمد یزدانیان</v>
      </c>
      <c r="I12" s="20">
        <v>42410000000</v>
      </c>
      <c r="J12" s="21">
        <v>4.7999999999999996E-3</v>
      </c>
      <c r="K12" s="22">
        <f>Table2[[#This Row],[درصد فروشنده]]*Table2[[#This Row],[مبلغ (ریال)]]</f>
        <v>203567999.99999997</v>
      </c>
    </row>
    <row r="13" spans="1:11" ht="29.25" customHeight="1">
      <c r="A13" s="18">
        <v>12</v>
      </c>
      <c r="B13" s="18">
        <v>2</v>
      </c>
      <c r="C13" s="19" t="s">
        <v>509</v>
      </c>
      <c r="D13" s="19" t="s">
        <v>521</v>
      </c>
      <c r="E13" s="19">
        <v>250014</v>
      </c>
      <c r="F13" s="19" t="s">
        <v>16</v>
      </c>
      <c r="G13" s="19" t="s">
        <v>122</v>
      </c>
      <c r="H13" s="19" t="str">
        <f>Table2[[#This Row],[نام ]]&amp;" "&amp;Table2[[#This Row],[نام خانوادگی]]</f>
        <v>الهام نیک اندیش</v>
      </c>
      <c r="I13" s="20">
        <v>540000000000</v>
      </c>
      <c r="J13" s="21">
        <v>1.4E-3</v>
      </c>
      <c r="K13" s="22">
        <f>Table2[[#This Row],[درصد فروشنده]]*Table2[[#This Row],[مبلغ (ریال)]]</f>
        <v>756000000</v>
      </c>
    </row>
    <row r="14" spans="1:11" ht="29.25" customHeight="1">
      <c r="A14" s="18">
        <v>13</v>
      </c>
      <c r="B14" s="18">
        <v>2</v>
      </c>
      <c r="C14" s="19" t="s">
        <v>509</v>
      </c>
      <c r="D14" s="19" t="s">
        <v>521</v>
      </c>
      <c r="E14" s="19">
        <v>250022</v>
      </c>
      <c r="F14" s="19" t="s">
        <v>21</v>
      </c>
      <c r="G14" s="19" t="s">
        <v>130</v>
      </c>
      <c r="H14" s="19" t="str">
        <f>Table2[[#This Row],[نام ]]&amp;" "&amp;Table2[[#This Row],[نام خانوادگی]]</f>
        <v>امیر حسین نعمتی جرتوده</v>
      </c>
      <c r="I14" s="20">
        <v>185310000000</v>
      </c>
      <c r="J14" s="21">
        <v>2.0999999999999999E-3</v>
      </c>
      <c r="K14" s="22">
        <f>Table2[[#This Row],[درصد فروشنده]]*Table2[[#This Row],[مبلغ (ریال)]]</f>
        <v>389151000</v>
      </c>
    </row>
    <row r="15" spans="1:11" ht="29.25" customHeight="1">
      <c r="A15" s="18">
        <v>14</v>
      </c>
      <c r="B15" s="18">
        <v>2</v>
      </c>
      <c r="C15" s="19" t="s">
        <v>509</v>
      </c>
      <c r="D15" s="23" t="s">
        <v>521</v>
      </c>
      <c r="E15" s="23">
        <v>250023</v>
      </c>
      <c r="F15" s="23" t="s">
        <v>22</v>
      </c>
      <c r="G15" s="23" t="s">
        <v>131</v>
      </c>
      <c r="H15" s="23" t="str">
        <f>Table2[[#This Row],[نام ]]&amp;" "&amp;Table2[[#This Row],[نام خانوادگی]]</f>
        <v>امیر محمد نعمتی</v>
      </c>
      <c r="I15" s="24">
        <v>192500000000</v>
      </c>
      <c r="J15" s="25">
        <v>2.0999999999999999E-3</v>
      </c>
      <c r="K15" s="26">
        <f>Table2[[#This Row],[درصد فروشنده]]*Table2[[#This Row],[مبلغ (ریال)]]</f>
        <v>404250000</v>
      </c>
    </row>
    <row r="16" spans="1:11" ht="29.25" customHeight="1">
      <c r="A16" s="18">
        <v>15</v>
      </c>
      <c r="B16" s="18">
        <v>3</v>
      </c>
      <c r="C16" s="19" t="s">
        <v>510</v>
      </c>
      <c r="D16" s="19" t="s">
        <v>521</v>
      </c>
      <c r="E16" s="19">
        <v>250001</v>
      </c>
      <c r="F16" s="19" t="s">
        <v>8</v>
      </c>
      <c r="G16" s="19" t="s">
        <v>110</v>
      </c>
      <c r="H16" s="19" t="str">
        <f>Table2[[#This Row],[نام ]]&amp;" "&amp;Table2[[#This Row],[نام خانوادگی]]</f>
        <v>ابوالفضل یوسفی نژاد</v>
      </c>
      <c r="I16" s="20">
        <v>34260000000</v>
      </c>
      <c r="J16" s="21">
        <v>5.0000000000000001E-3</v>
      </c>
      <c r="K16" s="22">
        <f>Table2[[#This Row],[درصد فروشنده]]*Table2[[#This Row],[مبلغ (ریال)]]</f>
        <v>171300000</v>
      </c>
    </row>
    <row r="17" spans="1:11" ht="29.25" customHeight="1">
      <c r="A17" s="18">
        <v>16</v>
      </c>
      <c r="B17" s="18">
        <v>3</v>
      </c>
      <c r="C17" s="19" t="s">
        <v>510</v>
      </c>
      <c r="D17" s="19" t="s">
        <v>521</v>
      </c>
      <c r="E17" s="19">
        <v>250002</v>
      </c>
      <c r="F17" s="19" t="s">
        <v>8</v>
      </c>
      <c r="G17" s="19" t="s">
        <v>111</v>
      </c>
      <c r="H17" s="19" t="str">
        <f>Table2[[#This Row],[نام ]]&amp;" "&amp;Table2[[#This Row],[نام خانوادگی]]</f>
        <v>ابوالفضل یوسفی</v>
      </c>
      <c r="I17" s="20">
        <v>32660000000</v>
      </c>
      <c r="J17" s="21">
        <v>6.1000000000000004E-3</v>
      </c>
      <c r="K17" s="22">
        <f>Table2[[#This Row],[درصد فروشنده]]*Table2[[#This Row],[مبلغ (ریال)]]</f>
        <v>199226000</v>
      </c>
    </row>
    <row r="18" spans="1:11" ht="29.25" customHeight="1">
      <c r="A18" s="18">
        <v>17</v>
      </c>
      <c r="B18" s="18">
        <v>3</v>
      </c>
      <c r="C18" s="19" t="s">
        <v>510</v>
      </c>
      <c r="D18" s="19" t="s">
        <v>521</v>
      </c>
      <c r="E18" s="19">
        <v>250003</v>
      </c>
      <c r="F18" s="19" t="s">
        <v>9</v>
      </c>
      <c r="G18" s="19" t="s">
        <v>112</v>
      </c>
      <c r="H18" s="19" t="str">
        <f>Table2[[#This Row],[نام ]]&amp;" "&amp;Table2[[#This Row],[نام خانوادگی]]</f>
        <v>احسان یگانه فر</v>
      </c>
      <c r="I18" s="20">
        <v>67500000000</v>
      </c>
      <c r="J18" s="21">
        <v>4.8999999999999998E-3</v>
      </c>
      <c r="K18" s="22">
        <f>Table2[[#This Row],[درصد فروشنده]]*Table2[[#This Row],[مبلغ (ریال)]]</f>
        <v>330750000</v>
      </c>
    </row>
    <row r="19" spans="1:11" ht="29.25" customHeight="1">
      <c r="A19" s="18">
        <v>18</v>
      </c>
      <c r="B19" s="18">
        <v>3</v>
      </c>
      <c r="C19" s="19" t="s">
        <v>510</v>
      </c>
      <c r="D19" s="19" t="s">
        <v>521</v>
      </c>
      <c r="E19" s="19">
        <v>250004</v>
      </c>
      <c r="F19" s="19" t="s">
        <v>10</v>
      </c>
      <c r="G19" s="19" t="s">
        <v>113</v>
      </c>
      <c r="H19" s="19" t="str">
        <f>Table2[[#This Row],[نام ]]&amp;" "&amp;Table2[[#This Row],[نام خانوادگی]]</f>
        <v>احمد یزدانیان</v>
      </c>
      <c r="I19" s="20">
        <v>38280000000</v>
      </c>
      <c r="J19" s="21">
        <v>4.7999999999999996E-3</v>
      </c>
      <c r="K19" s="22">
        <f>Table2[[#This Row],[درصد فروشنده]]*Table2[[#This Row],[مبلغ (ریال)]]</f>
        <v>183743999.99999997</v>
      </c>
    </row>
    <row r="20" spans="1:11" ht="29.25" customHeight="1">
      <c r="A20" s="18">
        <v>19</v>
      </c>
      <c r="B20" s="18">
        <v>3</v>
      </c>
      <c r="C20" s="19" t="s">
        <v>510</v>
      </c>
      <c r="D20" s="19" t="s">
        <v>521</v>
      </c>
      <c r="E20" s="19">
        <v>250014</v>
      </c>
      <c r="F20" s="19" t="s">
        <v>16</v>
      </c>
      <c r="G20" s="19" t="s">
        <v>122</v>
      </c>
      <c r="H20" s="19" t="str">
        <f>Table2[[#This Row],[نام ]]&amp;" "&amp;Table2[[#This Row],[نام خانوادگی]]</f>
        <v>الهام نیک اندیش</v>
      </c>
      <c r="I20" s="20">
        <v>515000000000</v>
      </c>
      <c r="J20" s="21">
        <v>1.4E-3</v>
      </c>
      <c r="K20" s="22">
        <f>Table2[[#This Row],[درصد فروشنده]]*Table2[[#This Row],[مبلغ (ریال)]]</f>
        <v>721000000</v>
      </c>
    </row>
    <row r="21" spans="1:11" ht="29.25" customHeight="1">
      <c r="A21" s="18">
        <v>20</v>
      </c>
      <c r="B21" s="18">
        <v>3</v>
      </c>
      <c r="C21" s="19" t="s">
        <v>510</v>
      </c>
      <c r="D21" s="19" t="s">
        <v>521</v>
      </c>
      <c r="E21" s="19">
        <v>250022</v>
      </c>
      <c r="F21" s="19" t="s">
        <v>21</v>
      </c>
      <c r="G21" s="19" t="s">
        <v>130</v>
      </c>
      <c r="H21" s="19" t="str">
        <f>Table2[[#This Row],[نام ]]&amp;" "&amp;Table2[[#This Row],[نام خانوادگی]]</f>
        <v>امیر حسین نعمتی جرتوده</v>
      </c>
      <c r="I21" s="20">
        <v>163490000000</v>
      </c>
      <c r="J21" s="21">
        <v>2.0999999999999999E-3</v>
      </c>
      <c r="K21" s="22">
        <f>Table2[[#This Row],[درصد فروشنده]]*Table2[[#This Row],[مبلغ (ریال)]]</f>
        <v>343329000</v>
      </c>
    </row>
    <row r="22" spans="1:11" ht="29.25" customHeight="1">
      <c r="A22" s="18">
        <v>21</v>
      </c>
      <c r="B22" s="18">
        <v>3</v>
      </c>
      <c r="C22" s="19" t="s">
        <v>510</v>
      </c>
      <c r="D22" s="23" t="s">
        <v>521</v>
      </c>
      <c r="E22" s="23">
        <v>250023</v>
      </c>
      <c r="F22" s="23" t="s">
        <v>22</v>
      </c>
      <c r="G22" s="23" t="s">
        <v>131</v>
      </c>
      <c r="H22" s="23" t="str">
        <f>Table2[[#This Row],[نام ]]&amp;" "&amp;Table2[[#This Row],[نام خانوادگی]]</f>
        <v>امیر محمد نعمتی</v>
      </c>
      <c r="I22" s="24">
        <v>169380000000</v>
      </c>
      <c r="J22" s="25">
        <v>2.0999999999999999E-3</v>
      </c>
      <c r="K22" s="26">
        <f>Table2[[#This Row],[درصد فروشنده]]*Table2[[#This Row],[مبلغ (ریال)]]</f>
        <v>355698000</v>
      </c>
    </row>
    <row r="23" spans="1:11" ht="29.25" customHeight="1">
      <c r="A23" s="18">
        <v>22</v>
      </c>
      <c r="B23" s="18">
        <v>4</v>
      </c>
      <c r="C23" s="19" t="s">
        <v>511</v>
      </c>
      <c r="D23" s="19" t="s">
        <v>522</v>
      </c>
      <c r="E23" s="19">
        <v>250001</v>
      </c>
      <c r="F23" s="19" t="s">
        <v>8</v>
      </c>
      <c r="G23" s="19" t="s">
        <v>110</v>
      </c>
      <c r="H23" s="19" t="str">
        <f>Table2[[#This Row],[نام ]]&amp;" "&amp;Table2[[#This Row],[نام خانوادگی]]</f>
        <v>ابوالفضل یوسفی نژاد</v>
      </c>
      <c r="I23" s="20">
        <v>40630000000</v>
      </c>
      <c r="J23" s="21">
        <v>5.0000000000000001E-3</v>
      </c>
      <c r="K23" s="27">
        <f>Table2[[#This Row],[درصد فروشنده]]*Table2[[#This Row],[مبلغ (ریال)]]</f>
        <v>203150000</v>
      </c>
    </row>
    <row r="24" spans="1:11" ht="29.25" customHeight="1">
      <c r="A24" s="18">
        <v>23</v>
      </c>
      <c r="B24" s="18">
        <v>4</v>
      </c>
      <c r="C24" s="19" t="s">
        <v>511</v>
      </c>
      <c r="D24" s="19" t="s">
        <v>522</v>
      </c>
      <c r="E24" s="19">
        <v>250002</v>
      </c>
      <c r="F24" s="19" t="s">
        <v>8</v>
      </c>
      <c r="G24" s="19" t="s">
        <v>111</v>
      </c>
      <c r="H24" s="19" t="str">
        <f>Table2[[#This Row],[نام ]]&amp;" "&amp;Table2[[#This Row],[نام خانوادگی]]</f>
        <v>ابوالفضل یوسفی</v>
      </c>
      <c r="I24" s="20">
        <v>37420000000</v>
      </c>
      <c r="J24" s="21">
        <v>6.1000000000000004E-3</v>
      </c>
      <c r="K24" s="27">
        <f>Table2[[#This Row],[درصد فروشنده]]*Table2[[#This Row],[مبلغ (ریال)]]</f>
        <v>228262000</v>
      </c>
    </row>
    <row r="25" spans="1:11" ht="29.25" customHeight="1">
      <c r="A25" s="18">
        <v>24</v>
      </c>
      <c r="B25" s="18">
        <v>4</v>
      </c>
      <c r="C25" s="19" t="s">
        <v>511</v>
      </c>
      <c r="D25" s="19" t="s">
        <v>522</v>
      </c>
      <c r="E25" s="19">
        <v>250003</v>
      </c>
      <c r="F25" s="19" t="s">
        <v>9</v>
      </c>
      <c r="G25" s="19" t="s">
        <v>112</v>
      </c>
      <c r="H25" s="19" t="str">
        <f>Table2[[#This Row],[نام ]]&amp;" "&amp;Table2[[#This Row],[نام خانوادگی]]</f>
        <v>احسان یگانه فر</v>
      </c>
      <c r="I25" s="20">
        <v>42980000000</v>
      </c>
      <c r="J25" s="21">
        <v>4.8999999999999998E-3</v>
      </c>
      <c r="K25" s="27">
        <f>Table2[[#This Row],[درصد فروشنده]]*Table2[[#This Row],[مبلغ (ریال)]]</f>
        <v>210602000</v>
      </c>
    </row>
    <row r="26" spans="1:11" ht="29.25" customHeight="1">
      <c r="A26" s="18">
        <v>25</v>
      </c>
      <c r="B26" s="18">
        <v>4</v>
      </c>
      <c r="C26" s="19" t="s">
        <v>511</v>
      </c>
      <c r="D26" s="19" t="s">
        <v>522</v>
      </c>
      <c r="E26" s="19">
        <v>250004</v>
      </c>
      <c r="F26" s="19" t="s">
        <v>10</v>
      </c>
      <c r="G26" s="19" t="s">
        <v>113</v>
      </c>
      <c r="H26" s="19" t="str">
        <f>Table2[[#This Row],[نام ]]&amp;" "&amp;Table2[[#This Row],[نام خانوادگی]]</f>
        <v>احمد یزدانیان</v>
      </c>
      <c r="I26" s="20">
        <v>28080000000</v>
      </c>
      <c r="J26" s="21">
        <v>4.7999999999999996E-3</v>
      </c>
      <c r="K26" s="27">
        <f>Table2[[#This Row],[درصد فروشنده]]*Table2[[#This Row],[مبلغ (ریال)]]</f>
        <v>134784000</v>
      </c>
    </row>
    <row r="27" spans="1:11" ht="29.25" customHeight="1">
      <c r="A27" s="18">
        <v>26</v>
      </c>
      <c r="B27" s="18">
        <v>4</v>
      </c>
      <c r="C27" s="19" t="s">
        <v>511</v>
      </c>
      <c r="D27" s="19" t="s">
        <v>522</v>
      </c>
      <c r="E27" s="19">
        <v>250014</v>
      </c>
      <c r="F27" s="19" t="s">
        <v>16</v>
      </c>
      <c r="G27" s="19" t="s">
        <v>122</v>
      </c>
      <c r="H27" s="19" t="str">
        <f>Table2[[#This Row],[نام ]]&amp;" "&amp;Table2[[#This Row],[نام خانوادگی]]</f>
        <v>الهام نیک اندیش</v>
      </c>
      <c r="I27" s="20">
        <v>301550000000</v>
      </c>
      <c r="J27" s="21">
        <v>1.4E-3</v>
      </c>
      <c r="K27" s="27">
        <f>Table2[[#This Row],[درصد فروشنده]]*Table2[[#This Row],[مبلغ (ریال)]]</f>
        <v>422170000</v>
      </c>
    </row>
    <row r="28" spans="1:11" ht="29.25" customHeight="1">
      <c r="A28" s="18">
        <v>27</v>
      </c>
      <c r="B28" s="18">
        <v>4</v>
      </c>
      <c r="C28" s="19" t="s">
        <v>511</v>
      </c>
      <c r="D28" s="19" t="s">
        <v>522</v>
      </c>
      <c r="E28" s="19">
        <v>250022</v>
      </c>
      <c r="F28" s="19" t="s">
        <v>21</v>
      </c>
      <c r="G28" s="19" t="s">
        <v>130</v>
      </c>
      <c r="H28" s="19" t="str">
        <f>Table2[[#This Row],[نام ]]&amp;" "&amp;Table2[[#This Row],[نام خانوادگی]]</f>
        <v>امیر حسین نعمتی جرتوده</v>
      </c>
      <c r="I28" s="20">
        <v>150540000000</v>
      </c>
      <c r="J28" s="21">
        <v>2.0999999999999999E-3</v>
      </c>
      <c r="K28" s="27">
        <f>Table2[[#This Row],[درصد فروشنده]]*Table2[[#This Row],[مبلغ (ریال)]]</f>
        <v>316134000</v>
      </c>
    </row>
    <row r="29" spans="1:11" ht="29.25" customHeight="1">
      <c r="A29" s="18">
        <v>28</v>
      </c>
      <c r="B29" s="18">
        <v>4</v>
      </c>
      <c r="C29" s="19" t="s">
        <v>511</v>
      </c>
      <c r="D29" s="19" t="s">
        <v>522</v>
      </c>
      <c r="E29" s="19">
        <v>250023</v>
      </c>
      <c r="F29" s="19" t="s">
        <v>22</v>
      </c>
      <c r="G29" s="19" t="s">
        <v>131</v>
      </c>
      <c r="H29" s="19" t="str">
        <f>Table2[[#This Row],[نام ]]&amp;" "&amp;Table2[[#This Row],[نام خانوادگی]]</f>
        <v>امیر محمد نعمتی</v>
      </c>
      <c r="I29" s="20">
        <v>211030000000</v>
      </c>
      <c r="J29" s="21">
        <v>2.0999999999999999E-3</v>
      </c>
      <c r="K29" s="27">
        <f>Table2[[#This Row],[درصد فروشنده]]*Table2[[#This Row],[مبلغ (ریال)]]</f>
        <v>443163000</v>
      </c>
    </row>
    <row r="30" spans="1:11" ht="29.25" customHeight="1">
      <c r="A30" s="18">
        <v>29</v>
      </c>
      <c r="B30" s="18">
        <v>5</v>
      </c>
      <c r="C30" s="19" t="s">
        <v>512</v>
      </c>
      <c r="D30" s="19" t="s">
        <v>522</v>
      </c>
      <c r="E30" s="19">
        <v>250001</v>
      </c>
      <c r="F30" s="19" t="s">
        <v>8</v>
      </c>
      <c r="G30" s="19" t="s">
        <v>110</v>
      </c>
      <c r="H30" s="19" t="str">
        <f>Table2[[#This Row],[نام ]]&amp;" "&amp;Table2[[#This Row],[نام خانوادگی]]</f>
        <v>ابوالفضل یوسفی نژاد</v>
      </c>
      <c r="I30" s="20">
        <v>24880000000</v>
      </c>
      <c r="J30" s="21">
        <v>5.0000000000000001E-3</v>
      </c>
      <c r="K30" s="27">
        <f>Table2[[#This Row],[درصد فروشنده]]*Table2[[#This Row],[مبلغ (ریال)]]</f>
        <v>124400000</v>
      </c>
    </row>
    <row r="31" spans="1:11" ht="29.25" customHeight="1">
      <c r="A31" s="18">
        <v>30</v>
      </c>
      <c r="B31" s="18">
        <v>5</v>
      </c>
      <c r="C31" s="19" t="s">
        <v>512</v>
      </c>
      <c r="D31" s="19" t="s">
        <v>522</v>
      </c>
      <c r="E31" s="19">
        <v>250002</v>
      </c>
      <c r="F31" s="19" t="s">
        <v>8</v>
      </c>
      <c r="G31" s="19" t="s">
        <v>111</v>
      </c>
      <c r="H31" s="19" t="str">
        <f>Table2[[#This Row],[نام ]]&amp;" "&amp;Table2[[#This Row],[نام خانوادگی]]</f>
        <v>ابوالفضل یوسفی</v>
      </c>
      <c r="I31" s="20">
        <v>47050000000</v>
      </c>
      <c r="J31" s="21">
        <v>6.1000000000000004E-3</v>
      </c>
      <c r="K31" s="27">
        <f>Table2[[#This Row],[درصد فروشنده]]*Table2[[#This Row],[مبلغ (ریال)]]</f>
        <v>287005000</v>
      </c>
    </row>
    <row r="32" spans="1:11" ht="29.25" customHeight="1">
      <c r="A32" s="18">
        <v>31</v>
      </c>
      <c r="B32" s="18">
        <v>5</v>
      </c>
      <c r="C32" s="19" t="s">
        <v>512</v>
      </c>
      <c r="D32" s="19" t="s">
        <v>522</v>
      </c>
      <c r="E32" s="19">
        <v>250003</v>
      </c>
      <c r="F32" s="19" t="s">
        <v>9</v>
      </c>
      <c r="G32" s="19" t="s">
        <v>112</v>
      </c>
      <c r="H32" s="19" t="str">
        <f>Table2[[#This Row],[نام ]]&amp;" "&amp;Table2[[#This Row],[نام خانوادگی]]</f>
        <v>احسان یگانه فر</v>
      </c>
      <c r="I32" s="20">
        <v>32150000000</v>
      </c>
      <c r="J32" s="21">
        <v>4.8999999999999998E-3</v>
      </c>
      <c r="K32" s="27">
        <f>Table2[[#This Row],[درصد فروشنده]]*Table2[[#This Row],[مبلغ (ریال)]]</f>
        <v>157535000</v>
      </c>
    </row>
    <row r="33" spans="1:11" ht="29.25" customHeight="1">
      <c r="A33" s="18">
        <v>32</v>
      </c>
      <c r="B33" s="18">
        <v>5</v>
      </c>
      <c r="C33" s="19" t="s">
        <v>512</v>
      </c>
      <c r="D33" s="19" t="s">
        <v>522</v>
      </c>
      <c r="E33" s="19">
        <v>250004</v>
      </c>
      <c r="F33" s="19" t="s">
        <v>10</v>
      </c>
      <c r="G33" s="19" t="s">
        <v>113</v>
      </c>
      <c r="H33" s="19" t="str">
        <f>Table2[[#This Row],[نام ]]&amp;" "&amp;Table2[[#This Row],[نام خانوادگی]]</f>
        <v>احمد یزدانیان</v>
      </c>
      <c r="I33" s="20">
        <v>25920000000</v>
      </c>
      <c r="J33" s="21">
        <v>4.7999999999999996E-3</v>
      </c>
      <c r="K33" s="27">
        <f>Table2[[#This Row],[درصد فروشنده]]*Table2[[#This Row],[مبلغ (ریال)]]</f>
        <v>124415999.99999999</v>
      </c>
    </row>
    <row r="34" spans="1:11" ht="29.25" customHeight="1">
      <c r="A34" s="18">
        <v>33</v>
      </c>
      <c r="B34" s="18">
        <v>5</v>
      </c>
      <c r="C34" s="19" t="s">
        <v>512</v>
      </c>
      <c r="D34" s="19" t="s">
        <v>522</v>
      </c>
      <c r="E34" s="19">
        <v>250014</v>
      </c>
      <c r="F34" s="19" t="s">
        <v>16</v>
      </c>
      <c r="G34" s="19" t="s">
        <v>122</v>
      </c>
      <c r="H34" s="19" t="str">
        <f>Table2[[#This Row],[نام ]]&amp;" "&amp;Table2[[#This Row],[نام خانوادگی]]</f>
        <v>الهام نیک اندیش</v>
      </c>
      <c r="I34" s="20">
        <v>372340000000</v>
      </c>
      <c r="J34" s="21">
        <v>1.4E-3</v>
      </c>
      <c r="K34" s="27">
        <f>Table2[[#This Row],[درصد فروشنده]]*Table2[[#This Row],[مبلغ (ریال)]]</f>
        <v>521276000</v>
      </c>
    </row>
    <row r="35" spans="1:11" ht="29.25" customHeight="1">
      <c r="A35" s="18">
        <v>34</v>
      </c>
      <c r="B35" s="18">
        <v>5</v>
      </c>
      <c r="C35" s="19" t="s">
        <v>512</v>
      </c>
      <c r="D35" s="19" t="s">
        <v>522</v>
      </c>
      <c r="E35" s="19">
        <v>250022</v>
      </c>
      <c r="F35" s="19" t="s">
        <v>21</v>
      </c>
      <c r="G35" s="19" t="s">
        <v>130</v>
      </c>
      <c r="H35" s="19" t="str">
        <f>Table2[[#This Row],[نام ]]&amp;" "&amp;Table2[[#This Row],[نام خانوادگی]]</f>
        <v>امیر حسین نعمتی جرتوده</v>
      </c>
      <c r="I35" s="20">
        <v>204670000000</v>
      </c>
      <c r="J35" s="21">
        <v>2.0999999999999999E-3</v>
      </c>
      <c r="K35" s="27">
        <f>Table2[[#This Row],[درصد فروشنده]]*Table2[[#This Row],[مبلغ (ریال)]]</f>
        <v>429807000</v>
      </c>
    </row>
    <row r="36" spans="1:11" ht="29.25" customHeight="1">
      <c r="A36" s="18">
        <v>35</v>
      </c>
      <c r="B36" s="18">
        <v>5</v>
      </c>
      <c r="C36" s="19" t="s">
        <v>512</v>
      </c>
      <c r="D36" s="19" t="s">
        <v>522</v>
      </c>
      <c r="E36" s="19">
        <v>250023</v>
      </c>
      <c r="F36" s="19" t="s">
        <v>22</v>
      </c>
      <c r="G36" s="19" t="s">
        <v>131</v>
      </c>
      <c r="H36" s="19" t="str">
        <f>Table2[[#This Row],[نام ]]&amp;" "&amp;Table2[[#This Row],[نام خانوادگی]]</f>
        <v>امیر محمد نعمتی</v>
      </c>
      <c r="I36" s="20">
        <v>229220000000</v>
      </c>
      <c r="J36" s="21">
        <v>2.0999999999999999E-3</v>
      </c>
      <c r="K36" s="27">
        <f>Table2[[#This Row],[درصد فروشنده]]*Table2[[#This Row],[مبلغ (ریال)]]</f>
        <v>481362000</v>
      </c>
    </row>
    <row r="37" spans="1:11" ht="29.25" customHeight="1">
      <c r="A37" s="18">
        <v>36</v>
      </c>
      <c r="B37" s="18">
        <v>6</v>
      </c>
      <c r="C37" s="19" t="s">
        <v>513</v>
      </c>
      <c r="D37" s="19" t="s">
        <v>522</v>
      </c>
      <c r="E37" s="19">
        <v>250001</v>
      </c>
      <c r="F37" s="19" t="s">
        <v>8</v>
      </c>
      <c r="G37" s="19" t="s">
        <v>110</v>
      </c>
      <c r="H37" s="19" t="str">
        <f>Table2[[#This Row],[نام ]]&amp;" "&amp;Table2[[#This Row],[نام خانوادگی]]</f>
        <v>ابوالفضل یوسفی نژاد</v>
      </c>
      <c r="I37" s="20">
        <v>30770000000</v>
      </c>
      <c r="J37" s="21">
        <v>5.0000000000000001E-3</v>
      </c>
      <c r="K37" s="27">
        <f>Table2[[#This Row],[درصد فروشنده]]*Table2[[#This Row],[مبلغ (ریال)]]</f>
        <v>153850000</v>
      </c>
    </row>
    <row r="38" spans="1:11" ht="29.25" customHeight="1">
      <c r="A38" s="18">
        <v>37</v>
      </c>
      <c r="B38" s="18">
        <v>6</v>
      </c>
      <c r="C38" s="19" t="s">
        <v>513</v>
      </c>
      <c r="D38" s="19" t="s">
        <v>522</v>
      </c>
      <c r="E38" s="19">
        <v>250002</v>
      </c>
      <c r="F38" s="19" t="s">
        <v>8</v>
      </c>
      <c r="G38" s="19" t="s">
        <v>111</v>
      </c>
      <c r="H38" s="19" t="str">
        <f>Table2[[#This Row],[نام ]]&amp;" "&amp;Table2[[#This Row],[نام خانوادگی]]</f>
        <v>ابوالفضل یوسفی</v>
      </c>
      <c r="I38" s="20">
        <v>51230000000</v>
      </c>
      <c r="J38" s="21">
        <v>6.1000000000000004E-3</v>
      </c>
      <c r="K38" s="27">
        <f>Table2[[#This Row],[درصد فروشنده]]*Table2[[#This Row],[مبلغ (ریال)]]</f>
        <v>312503000</v>
      </c>
    </row>
    <row r="39" spans="1:11" ht="29.25" customHeight="1">
      <c r="A39" s="18">
        <v>38</v>
      </c>
      <c r="B39" s="18">
        <v>6</v>
      </c>
      <c r="C39" s="19" t="s">
        <v>513</v>
      </c>
      <c r="D39" s="19" t="s">
        <v>522</v>
      </c>
      <c r="E39" s="19">
        <v>250003</v>
      </c>
      <c r="F39" s="19" t="s">
        <v>9</v>
      </c>
      <c r="G39" s="19" t="s">
        <v>112</v>
      </c>
      <c r="H39" s="19" t="str">
        <f>Table2[[#This Row],[نام ]]&amp;" "&amp;Table2[[#This Row],[نام خانوادگی]]</f>
        <v>احسان یگانه فر</v>
      </c>
      <c r="I39" s="20">
        <v>23140000000</v>
      </c>
      <c r="J39" s="21">
        <v>4.8999999999999998E-3</v>
      </c>
      <c r="K39" s="27">
        <f>Table2[[#This Row],[درصد فروشنده]]*Table2[[#This Row],[مبلغ (ریال)]]</f>
        <v>113386000</v>
      </c>
    </row>
    <row r="40" spans="1:11" ht="29.25" customHeight="1">
      <c r="A40" s="18">
        <v>39</v>
      </c>
      <c r="B40" s="18">
        <v>6</v>
      </c>
      <c r="C40" s="19" t="s">
        <v>513</v>
      </c>
      <c r="D40" s="19" t="s">
        <v>522</v>
      </c>
      <c r="E40" s="19">
        <v>250004</v>
      </c>
      <c r="F40" s="19" t="s">
        <v>10</v>
      </c>
      <c r="G40" s="19" t="s">
        <v>113</v>
      </c>
      <c r="H40" s="19" t="str">
        <f>Table2[[#This Row],[نام ]]&amp;" "&amp;Table2[[#This Row],[نام خانوادگی]]</f>
        <v>احمد یزدانیان</v>
      </c>
      <c r="I40" s="20">
        <v>61880000000</v>
      </c>
      <c r="J40" s="21">
        <v>4.7999999999999996E-3</v>
      </c>
      <c r="K40" s="27">
        <f>Table2[[#This Row],[درصد فروشنده]]*Table2[[#This Row],[مبلغ (ریال)]]</f>
        <v>297024000</v>
      </c>
    </row>
    <row r="41" spans="1:11" ht="29.25" customHeight="1">
      <c r="A41" s="18">
        <v>40</v>
      </c>
      <c r="B41" s="18">
        <v>6</v>
      </c>
      <c r="C41" s="19" t="s">
        <v>513</v>
      </c>
      <c r="D41" s="19" t="s">
        <v>522</v>
      </c>
      <c r="E41" s="19">
        <v>250014</v>
      </c>
      <c r="F41" s="19" t="s">
        <v>16</v>
      </c>
      <c r="G41" s="19" t="s">
        <v>122</v>
      </c>
      <c r="H41" s="19" t="str">
        <f>Table2[[#This Row],[نام ]]&amp;" "&amp;Table2[[#This Row],[نام خانوادگی]]</f>
        <v>الهام نیک اندیش</v>
      </c>
      <c r="I41" s="20">
        <v>426630000000</v>
      </c>
      <c r="J41" s="21">
        <v>1.4E-3</v>
      </c>
      <c r="K41" s="27">
        <f>Table2[[#This Row],[درصد فروشنده]]*Table2[[#This Row],[مبلغ (ریال)]]</f>
        <v>597282000</v>
      </c>
    </row>
    <row r="42" spans="1:11" ht="29.25" customHeight="1">
      <c r="A42" s="18">
        <v>41</v>
      </c>
      <c r="B42" s="18">
        <v>6</v>
      </c>
      <c r="C42" s="19" t="s">
        <v>513</v>
      </c>
      <c r="D42" s="19" t="s">
        <v>522</v>
      </c>
      <c r="E42" s="19">
        <v>250022</v>
      </c>
      <c r="F42" s="19" t="s">
        <v>21</v>
      </c>
      <c r="G42" s="19" t="s">
        <v>130</v>
      </c>
      <c r="H42" s="19" t="str">
        <f>Table2[[#This Row],[نام ]]&amp;" "&amp;Table2[[#This Row],[نام خانوادگی]]</f>
        <v>امیر حسین نعمتی جرتوده</v>
      </c>
      <c r="I42" s="20">
        <v>172330000000</v>
      </c>
      <c r="J42" s="21">
        <v>2.0999999999999999E-3</v>
      </c>
      <c r="K42" s="27">
        <f>Table2[[#This Row],[درصد فروشنده]]*Table2[[#This Row],[مبلغ (ریال)]]</f>
        <v>361893000</v>
      </c>
    </row>
    <row r="43" spans="1:11" ht="29.25" customHeight="1">
      <c r="A43" s="18">
        <v>42</v>
      </c>
      <c r="B43" s="28">
        <v>6</v>
      </c>
      <c r="C43" s="23" t="s">
        <v>513</v>
      </c>
      <c r="D43" s="23" t="s">
        <v>522</v>
      </c>
      <c r="E43" s="23">
        <v>250023</v>
      </c>
      <c r="F43" s="23" t="s">
        <v>22</v>
      </c>
      <c r="G43" s="23" t="s">
        <v>131</v>
      </c>
      <c r="H43" s="23" t="str">
        <f>Table2[[#This Row],[نام ]]&amp;" "&amp;Table2[[#This Row],[نام خانوادگی]]</f>
        <v>امیر محمد نعمتی</v>
      </c>
      <c r="I43" s="24">
        <v>312180000000</v>
      </c>
      <c r="J43" s="25">
        <v>2.0999999999999999E-3</v>
      </c>
      <c r="K43" s="29">
        <f>Table2[[#This Row],[درصد فروشنده]]*Table2[[#This Row],[مبلغ (ریال)]]</f>
        <v>655578000</v>
      </c>
    </row>
    <row r="44" spans="1:11" ht="29.25" customHeight="1">
      <c r="A44" s="18">
        <v>43</v>
      </c>
      <c r="B44" s="18">
        <v>7</v>
      </c>
      <c r="C44" s="19" t="s">
        <v>514</v>
      </c>
      <c r="D44" s="19" t="s">
        <v>523</v>
      </c>
      <c r="E44" s="19">
        <v>250001</v>
      </c>
      <c r="F44" s="19" t="s">
        <v>8</v>
      </c>
      <c r="G44" s="19" t="s">
        <v>110</v>
      </c>
      <c r="H44" s="19" t="str">
        <f>Table2[[#This Row],[نام ]]&amp;" "&amp;Table2[[#This Row],[نام خانوادگی]]</f>
        <v>ابوالفضل یوسفی نژاد</v>
      </c>
      <c r="I44" s="20">
        <v>33970000000</v>
      </c>
      <c r="J44" s="21">
        <v>5.0000000000000001E-3</v>
      </c>
      <c r="K44" s="27">
        <f>Table2[[#This Row],[درصد فروشنده]]*Table2[[#This Row],[مبلغ (ریال)]]</f>
        <v>169850000</v>
      </c>
    </row>
    <row r="45" spans="1:11" ht="29.25" customHeight="1">
      <c r="A45" s="18">
        <v>44</v>
      </c>
      <c r="B45" s="18">
        <v>7</v>
      </c>
      <c r="C45" s="19" t="s">
        <v>514</v>
      </c>
      <c r="D45" s="19" t="s">
        <v>523</v>
      </c>
      <c r="E45" s="19">
        <v>250002</v>
      </c>
      <c r="F45" s="19" t="s">
        <v>8</v>
      </c>
      <c r="G45" s="19" t="s">
        <v>111</v>
      </c>
      <c r="H45" s="19" t="str">
        <f>Table2[[#This Row],[نام ]]&amp;" "&amp;Table2[[#This Row],[نام خانوادگی]]</f>
        <v>ابوالفضل یوسفی</v>
      </c>
      <c r="I45" s="20">
        <v>42980000000</v>
      </c>
      <c r="J45" s="21">
        <v>6.1000000000000004E-3</v>
      </c>
      <c r="K45" s="27">
        <f>Table2[[#This Row],[درصد فروشنده]]*Table2[[#This Row],[مبلغ (ریال)]]</f>
        <v>262178000.00000003</v>
      </c>
    </row>
    <row r="46" spans="1:11" ht="29.25" customHeight="1">
      <c r="A46" s="18">
        <v>45</v>
      </c>
      <c r="B46" s="18">
        <v>7</v>
      </c>
      <c r="C46" s="19" t="s">
        <v>514</v>
      </c>
      <c r="D46" s="19" t="s">
        <v>523</v>
      </c>
      <c r="E46" s="19">
        <v>250003</v>
      </c>
      <c r="F46" s="19" t="s">
        <v>9</v>
      </c>
      <c r="G46" s="19" t="s">
        <v>112</v>
      </c>
      <c r="H46" s="19" t="str">
        <f>Table2[[#This Row],[نام ]]&amp;" "&amp;Table2[[#This Row],[نام خانوادگی]]</f>
        <v>احسان یگانه فر</v>
      </c>
      <c r="I46" s="20">
        <v>48590000000</v>
      </c>
      <c r="J46" s="21">
        <v>4.8999999999999998E-3</v>
      </c>
      <c r="K46" s="27">
        <f>Table2[[#This Row],[درصد فروشنده]]*Table2[[#This Row],[مبلغ (ریال)]]</f>
        <v>238091000</v>
      </c>
    </row>
    <row r="47" spans="1:11" ht="29.25" customHeight="1">
      <c r="A47" s="18">
        <v>46</v>
      </c>
      <c r="B47" s="18">
        <v>7</v>
      </c>
      <c r="C47" s="19" t="s">
        <v>514</v>
      </c>
      <c r="D47" s="19" t="s">
        <v>523</v>
      </c>
      <c r="E47" s="19">
        <v>250004</v>
      </c>
      <c r="F47" s="19" t="s">
        <v>10</v>
      </c>
      <c r="G47" s="19" t="s">
        <v>113</v>
      </c>
      <c r="H47" s="19" t="str">
        <f>Table2[[#This Row],[نام ]]&amp;" "&amp;Table2[[#This Row],[نام خانوادگی]]</f>
        <v>احمد یزدانیان</v>
      </c>
      <c r="I47" s="20">
        <v>29850000000</v>
      </c>
      <c r="J47" s="21">
        <v>4.7999999999999996E-3</v>
      </c>
      <c r="K47" s="27">
        <f>Table2[[#This Row],[درصد فروشنده]]*Table2[[#This Row],[مبلغ (ریال)]]</f>
        <v>143280000</v>
      </c>
    </row>
    <row r="48" spans="1:11" ht="29.25" customHeight="1">
      <c r="A48" s="18">
        <v>47</v>
      </c>
      <c r="B48" s="18">
        <v>7</v>
      </c>
      <c r="C48" s="19" t="s">
        <v>514</v>
      </c>
      <c r="D48" s="19" t="s">
        <v>523</v>
      </c>
      <c r="E48" s="19">
        <v>250014</v>
      </c>
      <c r="F48" s="19" t="s">
        <v>16</v>
      </c>
      <c r="G48" s="19" t="s">
        <v>122</v>
      </c>
      <c r="H48" s="19" t="str">
        <f>Table2[[#This Row],[نام ]]&amp;" "&amp;Table2[[#This Row],[نام خانوادگی]]</f>
        <v>الهام نیک اندیش</v>
      </c>
      <c r="I48" s="20">
        <v>430580000000</v>
      </c>
      <c r="J48" s="21">
        <v>1.4E-3</v>
      </c>
      <c r="K48" s="27">
        <f>Table2[[#This Row],[درصد فروشنده]]*Table2[[#This Row],[مبلغ (ریال)]]</f>
        <v>602812000</v>
      </c>
    </row>
    <row r="49" spans="1:11" ht="29.25" customHeight="1">
      <c r="A49" s="18">
        <v>48</v>
      </c>
      <c r="B49" s="18">
        <v>7</v>
      </c>
      <c r="C49" s="19" t="s">
        <v>514</v>
      </c>
      <c r="D49" s="19" t="s">
        <v>523</v>
      </c>
      <c r="E49" s="19">
        <v>250022</v>
      </c>
      <c r="F49" s="19" t="s">
        <v>21</v>
      </c>
      <c r="G49" s="19" t="s">
        <v>130</v>
      </c>
      <c r="H49" s="19" t="str">
        <f>Table2[[#This Row],[نام ]]&amp;" "&amp;Table2[[#This Row],[نام خانوادگی]]</f>
        <v>امیر حسین نعمتی جرتوده</v>
      </c>
      <c r="I49" s="20">
        <v>139520000000</v>
      </c>
      <c r="J49" s="21">
        <v>2.0999999999999999E-3</v>
      </c>
      <c r="K49" s="27">
        <f>Table2[[#This Row],[درصد فروشنده]]*Table2[[#This Row],[مبلغ (ریال)]]</f>
        <v>292992000</v>
      </c>
    </row>
    <row r="50" spans="1:11" ht="29.25" customHeight="1">
      <c r="A50" s="18">
        <v>49</v>
      </c>
      <c r="B50" s="18">
        <v>7</v>
      </c>
      <c r="C50" s="19" t="s">
        <v>514</v>
      </c>
      <c r="D50" s="19" t="s">
        <v>523</v>
      </c>
      <c r="E50" s="19">
        <v>250023</v>
      </c>
      <c r="F50" s="19" t="s">
        <v>22</v>
      </c>
      <c r="G50" s="19" t="s">
        <v>131</v>
      </c>
      <c r="H50" s="19" t="str">
        <f>Table2[[#This Row],[نام ]]&amp;" "&amp;Table2[[#This Row],[نام خانوادگی]]</f>
        <v>امیر محمد نعمتی</v>
      </c>
      <c r="I50" s="20">
        <v>138730000000</v>
      </c>
      <c r="J50" s="21">
        <v>2.0999999999999999E-3</v>
      </c>
      <c r="K50" s="27">
        <f>Table2[[#This Row],[درصد فروشنده]]*Table2[[#This Row],[مبلغ (ریال)]]</f>
        <v>291333000</v>
      </c>
    </row>
    <row r="51" spans="1:11" ht="29.25" customHeight="1">
      <c r="A51" s="18">
        <v>50</v>
      </c>
      <c r="B51" s="18">
        <v>8</v>
      </c>
      <c r="C51" s="19" t="s">
        <v>515</v>
      </c>
      <c r="D51" s="19" t="s">
        <v>523</v>
      </c>
      <c r="E51" s="19">
        <v>250001</v>
      </c>
      <c r="F51" s="19" t="s">
        <v>8</v>
      </c>
      <c r="G51" s="19" t="s">
        <v>110</v>
      </c>
      <c r="H51" s="19" t="str">
        <f>Table2[[#This Row],[نام ]]&amp;" "&amp;Table2[[#This Row],[نام خانوادگی]]</f>
        <v>ابوالفضل یوسفی نژاد</v>
      </c>
      <c r="I51" s="20">
        <v>46300000000</v>
      </c>
      <c r="J51" s="21">
        <v>5.0000000000000001E-3</v>
      </c>
      <c r="K51" s="27">
        <f>Table2[[#This Row],[درصد فروشنده]]*Table2[[#This Row],[مبلغ (ریال)]]</f>
        <v>231500000</v>
      </c>
    </row>
    <row r="52" spans="1:11" ht="29.25" customHeight="1">
      <c r="A52" s="18">
        <v>51</v>
      </c>
      <c r="B52" s="18">
        <v>8</v>
      </c>
      <c r="C52" s="19" t="s">
        <v>515</v>
      </c>
      <c r="D52" s="19" t="s">
        <v>523</v>
      </c>
      <c r="E52" s="19">
        <v>250002</v>
      </c>
      <c r="F52" s="19" t="s">
        <v>8</v>
      </c>
      <c r="G52" s="19" t="s">
        <v>111</v>
      </c>
      <c r="H52" s="19" t="str">
        <f>Table2[[#This Row],[نام ]]&amp;" "&amp;Table2[[#This Row],[نام خانوادگی]]</f>
        <v>ابوالفضل یوسفی</v>
      </c>
      <c r="I52" s="20">
        <v>29030000000</v>
      </c>
      <c r="J52" s="21">
        <v>6.1000000000000004E-3</v>
      </c>
      <c r="K52" s="27">
        <f>Table2[[#This Row],[درصد فروشنده]]*Table2[[#This Row],[مبلغ (ریال)]]</f>
        <v>177083000</v>
      </c>
    </row>
    <row r="53" spans="1:11" ht="29.25" customHeight="1">
      <c r="A53" s="18">
        <v>52</v>
      </c>
      <c r="B53" s="18">
        <v>8</v>
      </c>
      <c r="C53" s="19" t="s">
        <v>515</v>
      </c>
      <c r="D53" s="19" t="s">
        <v>523</v>
      </c>
      <c r="E53" s="19">
        <v>250003</v>
      </c>
      <c r="F53" s="19" t="s">
        <v>9</v>
      </c>
      <c r="G53" s="19" t="s">
        <v>112</v>
      </c>
      <c r="H53" s="19" t="str">
        <f>Table2[[#This Row],[نام ]]&amp;" "&amp;Table2[[#This Row],[نام خانوادگی]]</f>
        <v>احسان یگانه فر</v>
      </c>
      <c r="I53" s="20">
        <v>21620000000</v>
      </c>
      <c r="J53" s="21">
        <v>4.8999999999999998E-3</v>
      </c>
      <c r="K53" s="27">
        <f>Table2[[#This Row],[درصد فروشنده]]*Table2[[#This Row],[مبلغ (ریال)]]</f>
        <v>105938000</v>
      </c>
    </row>
    <row r="54" spans="1:11" ht="29.25" customHeight="1">
      <c r="A54" s="18">
        <v>53</v>
      </c>
      <c r="B54" s="18">
        <v>8</v>
      </c>
      <c r="C54" s="19" t="s">
        <v>515</v>
      </c>
      <c r="D54" s="19" t="s">
        <v>523</v>
      </c>
      <c r="E54" s="19">
        <v>250004</v>
      </c>
      <c r="F54" s="19" t="s">
        <v>10</v>
      </c>
      <c r="G54" s="19" t="s">
        <v>113</v>
      </c>
      <c r="H54" s="19" t="str">
        <f>Table2[[#This Row],[نام ]]&amp;" "&amp;Table2[[#This Row],[نام خانوادگی]]</f>
        <v>احمد یزدانیان</v>
      </c>
      <c r="I54" s="20">
        <v>59070000000</v>
      </c>
      <c r="J54" s="21">
        <v>4.7999999999999996E-3</v>
      </c>
      <c r="K54" s="27">
        <f>Table2[[#This Row],[درصد فروشنده]]*Table2[[#This Row],[مبلغ (ریال)]]</f>
        <v>283536000</v>
      </c>
    </row>
    <row r="55" spans="1:11" ht="29.25" customHeight="1">
      <c r="A55" s="18">
        <v>54</v>
      </c>
      <c r="B55" s="18">
        <v>8</v>
      </c>
      <c r="C55" s="19" t="s">
        <v>515</v>
      </c>
      <c r="D55" s="19" t="s">
        <v>523</v>
      </c>
      <c r="E55" s="19">
        <v>250014</v>
      </c>
      <c r="F55" s="19" t="s">
        <v>16</v>
      </c>
      <c r="G55" s="19" t="s">
        <v>122</v>
      </c>
      <c r="H55" s="19" t="str">
        <f>Table2[[#This Row],[نام ]]&amp;" "&amp;Table2[[#This Row],[نام خانوادگی]]</f>
        <v>الهام نیک اندیش</v>
      </c>
      <c r="I55" s="20">
        <v>502160000000</v>
      </c>
      <c r="J55" s="21">
        <v>1.4E-3</v>
      </c>
      <c r="K55" s="27">
        <f>Table2[[#This Row],[درصد فروشنده]]*Table2[[#This Row],[مبلغ (ریال)]]</f>
        <v>703024000</v>
      </c>
    </row>
    <row r="56" spans="1:11" ht="29.25" customHeight="1">
      <c r="A56" s="18">
        <v>55</v>
      </c>
      <c r="B56" s="18">
        <v>8</v>
      </c>
      <c r="C56" s="19" t="s">
        <v>515</v>
      </c>
      <c r="D56" s="19" t="s">
        <v>523</v>
      </c>
      <c r="E56" s="19">
        <v>250022</v>
      </c>
      <c r="F56" s="19" t="s">
        <v>21</v>
      </c>
      <c r="G56" s="19" t="s">
        <v>130</v>
      </c>
      <c r="H56" s="19" t="str">
        <f>Table2[[#This Row],[نام ]]&amp;" "&amp;Table2[[#This Row],[نام خانوادگی]]</f>
        <v>امیر حسین نعمتی جرتوده</v>
      </c>
      <c r="I56" s="20">
        <v>220640000000</v>
      </c>
      <c r="J56" s="21">
        <v>2.0999999999999999E-3</v>
      </c>
      <c r="K56" s="27">
        <f>Table2[[#This Row],[درصد فروشنده]]*Table2[[#This Row],[مبلغ (ریال)]]</f>
        <v>463344000</v>
      </c>
    </row>
    <row r="57" spans="1:11" ht="29.25" customHeight="1">
      <c r="A57" s="18">
        <v>56</v>
      </c>
      <c r="B57" s="18">
        <v>8</v>
      </c>
      <c r="C57" s="19" t="s">
        <v>515</v>
      </c>
      <c r="D57" s="19" t="s">
        <v>523</v>
      </c>
      <c r="E57" s="19">
        <v>250023</v>
      </c>
      <c r="F57" s="19" t="s">
        <v>22</v>
      </c>
      <c r="G57" s="19" t="s">
        <v>131</v>
      </c>
      <c r="H57" s="19" t="str">
        <f>Table2[[#This Row],[نام ]]&amp;" "&amp;Table2[[#This Row],[نام خانوادگی]]</f>
        <v>امیر محمد نعمتی</v>
      </c>
      <c r="I57" s="20">
        <v>235500000000</v>
      </c>
      <c r="J57" s="21">
        <v>2.0999999999999999E-3</v>
      </c>
      <c r="K57" s="27">
        <f>Table2[[#This Row],[درصد فروشنده]]*Table2[[#This Row],[مبلغ (ریال)]]</f>
        <v>494549999.99999994</v>
      </c>
    </row>
    <row r="58" spans="1:11" ht="29.25" customHeight="1">
      <c r="A58" s="18">
        <v>57</v>
      </c>
      <c r="B58" s="18">
        <v>9</v>
      </c>
      <c r="C58" s="19" t="s">
        <v>516</v>
      </c>
      <c r="D58" s="19" t="s">
        <v>523</v>
      </c>
      <c r="E58" s="19">
        <v>250001</v>
      </c>
      <c r="F58" s="19" t="s">
        <v>8</v>
      </c>
      <c r="G58" s="19" t="s">
        <v>110</v>
      </c>
      <c r="H58" s="19" t="str">
        <f>Table2[[#This Row],[نام ]]&amp;" "&amp;Table2[[#This Row],[نام خانوادگی]]</f>
        <v>ابوالفضل یوسفی نژاد</v>
      </c>
      <c r="I58" s="20">
        <v>25820000000</v>
      </c>
      <c r="J58" s="21">
        <v>5.0000000000000001E-3</v>
      </c>
      <c r="K58" s="27">
        <f>Table2[[#This Row],[درصد فروشنده]]*Table2[[#This Row],[مبلغ (ریال)]]</f>
        <v>129100000</v>
      </c>
    </row>
    <row r="59" spans="1:11" ht="29.25" customHeight="1">
      <c r="A59" s="18">
        <v>58</v>
      </c>
      <c r="B59" s="18">
        <v>9</v>
      </c>
      <c r="C59" s="19" t="s">
        <v>516</v>
      </c>
      <c r="D59" s="19" t="s">
        <v>523</v>
      </c>
      <c r="E59" s="19">
        <v>250002</v>
      </c>
      <c r="F59" s="19" t="s">
        <v>8</v>
      </c>
      <c r="G59" s="19" t="s">
        <v>111</v>
      </c>
      <c r="H59" s="19" t="str">
        <f>Table2[[#This Row],[نام ]]&amp;" "&amp;Table2[[#This Row],[نام خانوادگی]]</f>
        <v>ابوالفضل یوسفی</v>
      </c>
      <c r="I59" s="20">
        <v>33680000000</v>
      </c>
      <c r="J59" s="21">
        <v>6.1000000000000004E-3</v>
      </c>
      <c r="K59" s="27">
        <f>Table2[[#This Row],[درصد فروشنده]]*Table2[[#This Row],[مبلغ (ریال)]]</f>
        <v>205448000</v>
      </c>
    </row>
    <row r="60" spans="1:11" ht="29.25" customHeight="1">
      <c r="A60" s="18">
        <v>59</v>
      </c>
      <c r="B60" s="18">
        <v>9</v>
      </c>
      <c r="C60" s="19" t="s">
        <v>516</v>
      </c>
      <c r="D60" s="19" t="s">
        <v>523</v>
      </c>
      <c r="E60" s="19">
        <v>250003</v>
      </c>
      <c r="F60" s="19" t="s">
        <v>9</v>
      </c>
      <c r="G60" s="19" t="s">
        <v>112</v>
      </c>
      <c r="H60" s="19" t="str">
        <f>Table2[[#This Row],[نام ]]&amp;" "&amp;Table2[[#This Row],[نام خانوادگی]]</f>
        <v>احسان یگانه فر</v>
      </c>
      <c r="I60" s="20">
        <v>47880000000</v>
      </c>
      <c r="J60" s="21">
        <v>4.8999999999999998E-3</v>
      </c>
      <c r="K60" s="27">
        <f>Table2[[#This Row],[درصد فروشنده]]*Table2[[#This Row],[مبلغ (ریال)]]</f>
        <v>234612000</v>
      </c>
    </row>
    <row r="61" spans="1:11" ht="29.25" customHeight="1">
      <c r="A61" s="18">
        <v>60</v>
      </c>
      <c r="B61" s="18">
        <v>9</v>
      </c>
      <c r="C61" s="19" t="s">
        <v>516</v>
      </c>
      <c r="D61" s="19" t="s">
        <v>523</v>
      </c>
      <c r="E61" s="19">
        <v>250004</v>
      </c>
      <c r="F61" s="19" t="s">
        <v>10</v>
      </c>
      <c r="G61" s="19" t="s">
        <v>113</v>
      </c>
      <c r="H61" s="19" t="str">
        <f>Table2[[#This Row],[نام ]]&amp;" "&amp;Table2[[#This Row],[نام خانوادگی]]</f>
        <v>احمد یزدانیان</v>
      </c>
      <c r="I61" s="20">
        <v>44060000000</v>
      </c>
      <c r="J61" s="21">
        <v>4.7999999999999996E-3</v>
      </c>
      <c r="K61" s="27">
        <f>Table2[[#This Row],[درصد فروشنده]]*Table2[[#This Row],[مبلغ (ریال)]]</f>
        <v>211487999.99999997</v>
      </c>
    </row>
    <row r="62" spans="1:11" ht="29.25" customHeight="1">
      <c r="A62" s="18">
        <v>61</v>
      </c>
      <c r="B62" s="18">
        <v>9</v>
      </c>
      <c r="C62" s="19" t="s">
        <v>516</v>
      </c>
      <c r="D62" s="19" t="s">
        <v>523</v>
      </c>
      <c r="E62" s="19">
        <v>250014</v>
      </c>
      <c r="F62" s="19" t="s">
        <v>16</v>
      </c>
      <c r="G62" s="19" t="s">
        <v>122</v>
      </c>
      <c r="H62" s="19" t="str">
        <f>Table2[[#This Row],[نام ]]&amp;" "&amp;Table2[[#This Row],[نام خانوادگی]]</f>
        <v>الهام نیک اندیش</v>
      </c>
      <c r="I62" s="20">
        <v>470770000000</v>
      </c>
      <c r="J62" s="21">
        <v>1.4E-3</v>
      </c>
      <c r="K62" s="27">
        <f>Table2[[#This Row],[درصد فروشنده]]*Table2[[#This Row],[مبلغ (ریال)]]</f>
        <v>659078000</v>
      </c>
    </row>
    <row r="63" spans="1:11" ht="29.25" customHeight="1">
      <c r="A63" s="18">
        <v>62</v>
      </c>
      <c r="B63" s="18">
        <v>9</v>
      </c>
      <c r="C63" s="19" t="s">
        <v>516</v>
      </c>
      <c r="D63" s="19" t="s">
        <v>523</v>
      </c>
      <c r="E63" s="19">
        <v>250022</v>
      </c>
      <c r="F63" s="19" t="s">
        <v>21</v>
      </c>
      <c r="G63" s="19" t="s">
        <v>130</v>
      </c>
      <c r="H63" s="19" t="str">
        <f>Table2[[#This Row],[نام ]]&amp;" "&amp;Table2[[#This Row],[نام خانوادگی]]</f>
        <v>امیر حسین نعمتی جرتوده</v>
      </c>
      <c r="I63" s="20">
        <v>323190000000</v>
      </c>
      <c r="J63" s="21">
        <v>2.0999999999999999E-3</v>
      </c>
      <c r="K63" s="27">
        <f>Table2[[#This Row],[درصد فروشنده]]*Table2[[#This Row],[مبلغ (ریال)]]</f>
        <v>678699000</v>
      </c>
    </row>
    <row r="64" spans="1:11" ht="29.25" customHeight="1">
      <c r="A64" s="18">
        <v>63</v>
      </c>
      <c r="B64" s="18">
        <v>9</v>
      </c>
      <c r="C64" s="19" t="s">
        <v>516</v>
      </c>
      <c r="D64" s="19" t="s">
        <v>523</v>
      </c>
      <c r="E64" s="19">
        <v>250023</v>
      </c>
      <c r="F64" s="19" t="s">
        <v>22</v>
      </c>
      <c r="G64" s="19" t="s">
        <v>131</v>
      </c>
      <c r="H64" s="19" t="str">
        <f>Table2[[#This Row],[نام ]]&amp;" "&amp;Table2[[#This Row],[نام خانوادگی]]</f>
        <v>امیر محمد نعمتی</v>
      </c>
      <c r="I64" s="20">
        <v>190520000000</v>
      </c>
      <c r="J64" s="21">
        <v>2.0999999999999999E-3</v>
      </c>
      <c r="K64" s="27">
        <f>Table2[[#This Row],[درصد فروشنده]]*Table2[[#This Row],[مبلغ (ریال)]]</f>
        <v>400092000</v>
      </c>
    </row>
    <row r="65" spans="1:11" ht="29.25" customHeight="1">
      <c r="A65" s="18">
        <v>64</v>
      </c>
      <c r="B65" s="18">
        <v>10</v>
      </c>
      <c r="C65" s="19" t="s">
        <v>517</v>
      </c>
      <c r="D65" s="19" t="s">
        <v>524</v>
      </c>
      <c r="E65" s="19">
        <v>250001</v>
      </c>
      <c r="F65" s="19" t="s">
        <v>8</v>
      </c>
      <c r="G65" s="19" t="s">
        <v>110</v>
      </c>
      <c r="H65" s="19" t="str">
        <f>Table2[[#This Row],[نام ]]&amp;" "&amp;Table2[[#This Row],[نام خانوادگی]]</f>
        <v>ابوالفضل یوسفی نژاد</v>
      </c>
      <c r="I65" s="20">
        <v>41340000000</v>
      </c>
      <c r="J65" s="21">
        <v>5.0000000000000001E-3</v>
      </c>
      <c r="K65" s="27">
        <f>Table2[[#This Row],[درصد فروشنده]]*Table2[[#This Row],[مبلغ (ریال)]]</f>
        <v>206700000</v>
      </c>
    </row>
    <row r="66" spans="1:11" ht="29.25" customHeight="1">
      <c r="A66" s="18">
        <v>65</v>
      </c>
      <c r="B66" s="18">
        <v>10</v>
      </c>
      <c r="C66" s="19" t="s">
        <v>517</v>
      </c>
      <c r="D66" s="19" t="s">
        <v>524</v>
      </c>
      <c r="E66" s="19">
        <v>250002</v>
      </c>
      <c r="F66" s="19" t="s">
        <v>8</v>
      </c>
      <c r="G66" s="19" t="s">
        <v>111</v>
      </c>
      <c r="H66" s="19" t="str">
        <f>Table2[[#This Row],[نام ]]&amp;" "&amp;Table2[[#This Row],[نام خانوادگی]]</f>
        <v>ابوالفضل یوسفی</v>
      </c>
      <c r="I66" s="20">
        <v>23510000000</v>
      </c>
      <c r="J66" s="21">
        <v>6.1000000000000004E-3</v>
      </c>
      <c r="K66" s="27">
        <f>Table2[[#This Row],[درصد فروشنده]]*Table2[[#This Row],[مبلغ (ریال)]]</f>
        <v>143411000</v>
      </c>
    </row>
    <row r="67" spans="1:11" ht="29.25" customHeight="1">
      <c r="A67" s="18">
        <v>66</v>
      </c>
      <c r="B67" s="18">
        <v>10</v>
      </c>
      <c r="C67" s="19" t="s">
        <v>517</v>
      </c>
      <c r="D67" s="19" t="s">
        <v>524</v>
      </c>
      <c r="E67" s="19">
        <v>250003</v>
      </c>
      <c r="F67" s="19" t="s">
        <v>9</v>
      </c>
      <c r="G67" s="19" t="s">
        <v>112</v>
      </c>
      <c r="H67" s="19" t="str">
        <f>Table2[[#This Row],[نام ]]&amp;" "&amp;Table2[[#This Row],[نام خانوادگی]]</f>
        <v>احسان یگانه فر</v>
      </c>
      <c r="I67" s="20">
        <v>28400000000</v>
      </c>
      <c r="J67" s="21">
        <v>4.8999999999999998E-3</v>
      </c>
      <c r="K67" s="27">
        <f>Table2[[#This Row],[درصد فروشنده]]*Table2[[#This Row],[مبلغ (ریال)]]</f>
        <v>139160000</v>
      </c>
    </row>
    <row r="68" spans="1:11" ht="29.25" customHeight="1">
      <c r="A68" s="18">
        <v>67</v>
      </c>
      <c r="B68" s="18">
        <v>10</v>
      </c>
      <c r="C68" s="19" t="s">
        <v>517</v>
      </c>
      <c r="D68" s="19" t="s">
        <v>524</v>
      </c>
      <c r="E68" s="19">
        <v>250004</v>
      </c>
      <c r="F68" s="19" t="s">
        <v>10</v>
      </c>
      <c r="G68" s="19" t="s">
        <v>113</v>
      </c>
      <c r="H68" s="19" t="str">
        <f>Table2[[#This Row],[نام ]]&amp;" "&amp;Table2[[#This Row],[نام خانوادگی]]</f>
        <v>احمد یزدانیان</v>
      </c>
      <c r="I68" s="20">
        <v>42270000000</v>
      </c>
      <c r="J68" s="21">
        <v>4.7999999999999996E-3</v>
      </c>
      <c r="K68" s="27">
        <f>Table2[[#This Row],[درصد فروشنده]]*Table2[[#This Row],[مبلغ (ریال)]]</f>
        <v>202895999.99999997</v>
      </c>
    </row>
    <row r="69" spans="1:11" ht="29.25" customHeight="1">
      <c r="A69" s="18">
        <v>68</v>
      </c>
      <c r="B69" s="18">
        <v>10</v>
      </c>
      <c r="C69" s="19" t="s">
        <v>517</v>
      </c>
      <c r="D69" s="19" t="s">
        <v>524</v>
      </c>
      <c r="E69" s="19">
        <v>250014</v>
      </c>
      <c r="F69" s="19" t="s">
        <v>16</v>
      </c>
      <c r="G69" s="19" t="s">
        <v>122</v>
      </c>
      <c r="H69" s="19" t="str">
        <f>Table2[[#This Row],[نام ]]&amp;" "&amp;Table2[[#This Row],[نام خانوادگی]]</f>
        <v>الهام نیک اندیش</v>
      </c>
      <c r="I69" s="20">
        <v>334580000000</v>
      </c>
      <c r="J69" s="21">
        <v>1.4E-3</v>
      </c>
      <c r="K69" s="27">
        <f>Table2[[#This Row],[درصد فروشنده]]*Table2[[#This Row],[مبلغ (ریال)]]</f>
        <v>468412000</v>
      </c>
    </row>
    <row r="70" spans="1:11" ht="29.25" customHeight="1">
      <c r="A70" s="18">
        <v>69</v>
      </c>
      <c r="B70" s="18">
        <v>10</v>
      </c>
      <c r="C70" s="19" t="s">
        <v>517</v>
      </c>
      <c r="D70" s="19" t="s">
        <v>524</v>
      </c>
      <c r="E70" s="19">
        <v>250022</v>
      </c>
      <c r="F70" s="19" t="s">
        <v>21</v>
      </c>
      <c r="G70" s="19" t="s">
        <v>130</v>
      </c>
      <c r="H70" s="19" t="str">
        <f>Table2[[#This Row],[نام ]]&amp;" "&amp;Table2[[#This Row],[نام خانوادگی]]</f>
        <v>امیر حسین نعمتی جرتوده</v>
      </c>
      <c r="I70" s="20">
        <v>319500000000</v>
      </c>
      <c r="J70" s="21">
        <v>2.0999999999999999E-3</v>
      </c>
      <c r="K70" s="27">
        <f>Table2[[#This Row],[درصد فروشنده]]*Table2[[#This Row],[مبلغ (ریال)]]</f>
        <v>670950000</v>
      </c>
    </row>
    <row r="71" spans="1:11" ht="29.25" customHeight="1">
      <c r="A71" s="18">
        <v>70</v>
      </c>
      <c r="B71" s="18">
        <v>10</v>
      </c>
      <c r="C71" s="19" t="s">
        <v>517</v>
      </c>
      <c r="D71" s="19" t="s">
        <v>524</v>
      </c>
      <c r="E71" s="19">
        <v>250023</v>
      </c>
      <c r="F71" s="19" t="s">
        <v>22</v>
      </c>
      <c r="G71" s="19" t="s">
        <v>131</v>
      </c>
      <c r="H71" s="19" t="str">
        <f>Table2[[#This Row],[نام ]]&amp;" "&amp;Table2[[#This Row],[نام خانوادگی]]</f>
        <v>امیر محمد نعمتی</v>
      </c>
      <c r="I71" s="20">
        <v>204450000000</v>
      </c>
      <c r="J71" s="21">
        <v>2.0999999999999999E-3</v>
      </c>
      <c r="K71" s="27">
        <f>Table2[[#This Row],[درصد فروشنده]]*Table2[[#This Row],[مبلغ (ریال)]]</f>
        <v>429345000</v>
      </c>
    </row>
    <row r="72" spans="1:11" ht="29.25" customHeight="1">
      <c r="A72" s="18">
        <v>71</v>
      </c>
      <c r="B72" s="18">
        <v>11</v>
      </c>
      <c r="C72" s="19" t="s">
        <v>286</v>
      </c>
      <c r="D72" s="19" t="s">
        <v>524</v>
      </c>
      <c r="E72" s="19">
        <v>250001</v>
      </c>
      <c r="F72" s="19" t="s">
        <v>8</v>
      </c>
      <c r="G72" s="19" t="s">
        <v>110</v>
      </c>
      <c r="H72" s="19" t="str">
        <f>Table2[[#This Row],[نام ]]&amp;" "&amp;Table2[[#This Row],[نام خانوادگی]]</f>
        <v>ابوالفضل یوسفی نژاد</v>
      </c>
      <c r="I72" s="20">
        <v>26040000000</v>
      </c>
      <c r="J72" s="21">
        <v>5.0000000000000001E-3</v>
      </c>
      <c r="K72" s="27">
        <f>Table2[[#This Row],[درصد فروشنده]]*Table2[[#This Row],[مبلغ (ریال)]]</f>
        <v>130200000</v>
      </c>
    </row>
    <row r="73" spans="1:11" ht="29.25" customHeight="1">
      <c r="A73" s="18">
        <v>72</v>
      </c>
      <c r="B73" s="18">
        <v>11</v>
      </c>
      <c r="C73" s="19" t="s">
        <v>286</v>
      </c>
      <c r="D73" s="19" t="s">
        <v>524</v>
      </c>
      <c r="E73" s="19">
        <v>250002</v>
      </c>
      <c r="F73" s="19" t="s">
        <v>8</v>
      </c>
      <c r="G73" s="19" t="s">
        <v>111</v>
      </c>
      <c r="H73" s="19" t="str">
        <f>Table2[[#This Row],[نام ]]&amp;" "&amp;Table2[[#This Row],[نام خانوادگی]]</f>
        <v>ابوالفضل یوسفی</v>
      </c>
      <c r="I73" s="20">
        <v>52210000000</v>
      </c>
      <c r="J73" s="21">
        <v>6.1000000000000004E-3</v>
      </c>
      <c r="K73" s="27">
        <f>Table2[[#This Row],[درصد فروشنده]]*Table2[[#This Row],[مبلغ (ریال)]]</f>
        <v>318481000</v>
      </c>
    </row>
    <row r="74" spans="1:11" ht="29.25" customHeight="1">
      <c r="A74" s="18">
        <v>73</v>
      </c>
      <c r="B74" s="18">
        <v>11</v>
      </c>
      <c r="C74" s="19" t="s">
        <v>286</v>
      </c>
      <c r="D74" s="19" t="s">
        <v>524</v>
      </c>
      <c r="E74" s="19">
        <v>250003</v>
      </c>
      <c r="F74" s="19" t="s">
        <v>9</v>
      </c>
      <c r="G74" s="19" t="s">
        <v>112</v>
      </c>
      <c r="H74" s="19" t="str">
        <f>Table2[[#This Row],[نام ]]&amp;" "&amp;Table2[[#This Row],[نام خانوادگی]]</f>
        <v>احسان یگانه فر</v>
      </c>
      <c r="I74" s="20">
        <v>33550000000</v>
      </c>
      <c r="J74" s="21">
        <v>4.8999999999999998E-3</v>
      </c>
      <c r="K74" s="27">
        <f>Table2[[#This Row],[درصد فروشنده]]*Table2[[#This Row],[مبلغ (ریال)]]</f>
        <v>164395000</v>
      </c>
    </row>
    <row r="75" spans="1:11" ht="29.25" customHeight="1">
      <c r="A75" s="18">
        <v>74</v>
      </c>
      <c r="B75" s="18">
        <v>11</v>
      </c>
      <c r="C75" s="19" t="s">
        <v>286</v>
      </c>
      <c r="D75" s="19" t="s">
        <v>524</v>
      </c>
      <c r="E75" s="19">
        <v>250004</v>
      </c>
      <c r="F75" s="19" t="s">
        <v>10</v>
      </c>
      <c r="G75" s="19" t="s">
        <v>113</v>
      </c>
      <c r="H75" s="19" t="str">
        <f>Table2[[#This Row],[نام ]]&amp;" "&amp;Table2[[#This Row],[نام خانوادگی]]</f>
        <v>احمد یزدانیان</v>
      </c>
      <c r="I75" s="20">
        <v>35960000000</v>
      </c>
      <c r="J75" s="21">
        <v>4.7999999999999996E-3</v>
      </c>
      <c r="K75" s="27">
        <f>Table2[[#This Row],[درصد فروشنده]]*Table2[[#This Row],[مبلغ (ریال)]]</f>
        <v>172607999.99999997</v>
      </c>
    </row>
    <row r="76" spans="1:11" ht="29.25" customHeight="1">
      <c r="A76" s="18">
        <v>75</v>
      </c>
      <c r="B76" s="18">
        <v>11</v>
      </c>
      <c r="C76" s="19" t="s">
        <v>286</v>
      </c>
      <c r="D76" s="19" t="s">
        <v>524</v>
      </c>
      <c r="E76" s="19">
        <v>250014</v>
      </c>
      <c r="F76" s="19" t="s">
        <v>16</v>
      </c>
      <c r="G76" s="19" t="s">
        <v>122</v>
      </c>
      <c r="H76" s="19" t="str">
        <f>Table2[[#This Row],[نام ]]&amp;" "&amp;Table2[[#This Row],[نام خانوادگی]]</f>
        <v>الهام نیک اندیش</v>
      </c>
      <c r="I76" s="20">
        <v>301260000000</v>
      </c>
      <c r="J76" s="21">
        <v>1.4E-3</v>
      </c>
      <c r="K76" s="27">
        <f>Table2[[#This Row],[درصد فروشنده]]*Table2[[#This Row],[مبلغ (ریال)]]</f>
        <v>421764000</v>
      </c>
    </row>
    <row r="77" spans="1:11" ht="29.25" customHeight="1">
      <c r="A77" s="18">
        <v>76</v>
      </c>
      <c r="B77" s="18">
        <v>11</v>
      </c>
      <c r="C77" s="19" t="s">
        <v>286</v>
      </c>
      <c r="D77" s="19" t="s">
        <v>524</v>
      </c>
      <c r="E77" s="19">
        <v>250022</v>
      </c>
      <c r="F77" s="19" t="s">
        <v>21</v>
      </c>
      <c r="G77" s="19" t="s">
        <v>130</v>
      </c>
      <c r="H77" s="19" t="str">
        <f>Table2[[#This Row],[نام ]]&amp;" "&amp;Table2[[#This Row],[نام خانوادگی]]</f>
        <v>امیر حسین نعمتی جرتوده</v>
      </c>
      <c r="I77" s="20">
        <v>239770000000</v>
      </c>
      <c r="J77" s="21">
        <v>2.0999999999999999E-3</v>
      </c>
      <c r="K77" s="27">
        <f>Table2[[#This Row],[درصد فروشنده]]*Table2[[#This Row],[مبلغ (ریال)]]</f>
        <v>503516999.99999994</v>
      </c>
    </row>
    <row r="78" spans="1:11" ht="29.25" customHeight="1">
      <c r="A78" s="18">
        <v>77</v>
      </c>
      <c r="B78" s="18">
        <v>11</v>
      </c>
      <c r="C78" s="19" t="s">
        <v>286</v>
      </c>
      <c r="D78" s="19" t="s">
        <v>524</v>
      </c>
      <c r="E78" s="19">
        <v>250023</v>
      </c>
      <c r="F78" s="19" t="s">
        <v>22</v>
      </c>
      <c r="G78" s="19" t="s">
        <v>131</v>
      </c>
      <c r="H78" s="19" t="str">
        <f>Table2[[#This Row],[نام ]]&amp;" "&amp;Table2[[#This Row],[نام خانوادگی]]</f>
        <v>امیر محمد نعمتی</v>
      </c>
      <c r="I78" s="20">
        <v>241400000000</v>
      </c>
      <c r="J78" s="21">
        <v>2.0999999999999999E-3</v>
      </c>
      <c r="K78" s="27">
        <f>Table2[[#This Row],[درصد فروشنده]]*Table2[[#This Row],[مبلغ (ریال)]]</f>
        <v>506939999.99999994</v>
      </c>
    </row>
    <row r="79" spans="1:11" ht="29.25" customHeight="1">
      <c r="A79" s="18">
        <v>78</v>
      </c>
      <c r="B79" s="18">
        <v>12</v>
      </c>
      <c r="C79" s="19" t="s">
        <v>518</v>
      </c>
      <c r="D79" s="19" t="s">
        <v>524</v>
      </c>
      <c r="E79" s="19">
        <v>250001</v>
      </c>
      <c r="F79" s="19" t="s">
        <v>8</v>
      </c>
      <c r="G79" s="19" t="s">
        <v>110</v>
      </c>
      <c r="H79" s="19" t="str">
        <f>Table2[[#This Row],[نام ]]&amp;" "&amp;Table2[[#This Row],[نام خانوادگی]]</f>
        <v>ابوالفضل یوسفی نژاد</v>
      </c>
      <c r="I79" s="20">
        <v>31130000000</v>
      </c>
      <c r="J79" s="21">
        <v>5.0000000000000001E-3</v>
      </c>
      <c r="K79" s="27">
        <f>Table2[[#This Row],[درصد فروشنده]]*Table2[[#This Row],[مبلغ (ریال)]]</f>
        <v>155650000</v>
      </c>
    </row>
    <row r="80" spans="1:11" ht="29.25" customHeight="1">
      <c r="A80" s="18">
        <v>79</v>
      </c>
      <c r="B80" s="18">
        <v>12</v>
      </c>
      <c r="C80" s="19" t="s">
        <v>518</v>
      </c>
      <c r="D80" s="19" t="s">
        <v>524</v>
      </c>
      <c r="E80" s="19">
        <v>250002</v>
      </c>
      <c r="F80" s="19" t="s">
        <v>8</v>
      </c>
      <c r="G80" s="19" t="s">
        <v>111</v>
      </c>
      <c r="H80" s="19" t="str">
        <f>Table2[[#This Row],[نام ]]&amp;" "&amp;Table2[[#This Row],[نام خانوادگی]]</f>
        <v>ابوالفضل یوسفی</v>
      </c>
      <c r="I80" s="20">
        <v>38213000000</v>
      </c>
      <c r="J80" s="21">
        <v>6.1000000000000004E-3</v>
      </c>
      <c r="K80" s="27">
        <f>Table2[[#This Row],[درصد فروشنده]]*Table2[[#This Row],[مبلغ (ریال)]]</f>
        <v>233099300</v>
      </c>
    </row>
    <row r="81" spans="1:11" ht="29.25" customHeight="1">
      <c r="A81" s="18">
        <v>80</v>
      </c>
      <c r="B81" s="18">
        <v>12</v>
      </c>
      <c r="C81" s="19" t="s">
        <v>518</v>
      </c>
      <c r="D81" s="19" t="s">
        <v>524</v>
      </c>
      <c r="E81" s="19">
        <v>250003</v>
      </c>
      <c r="F81" s="19" t="s">
        <v>9</v>
      </c>
      <c r="G81" s="19" t="s">
        <v>112</v>
      </c>
      <c r="H81" s="19" t="str">
        <f>Table2[[#This Row],[نام ]]&amp;" "&amp;Table2[[#This Row],[نام خانوادگی]]</f>
        <v>احسان یگانه فر</v>
      </c>
      <c r="I81" s="20">
        <v>42050000000</v>
      </c>
      <c r="J81" s="21">
        <v>4.8999999999999998E-3</v>
      </c>
      <c r="K81" s="27">
        <f>Table2[[#This Row],[درصد فروشنده]]*Table2[[#This Row],[مبلغ (ریال)]]</f>
        <v>206045000</v>
      </c>
    </row>
    <row r="82" spans="1:11" ht="29.25" customHeight="1">
      <c r="A82" s="18">
        <v>81</v>
      </c>
      <c r="B82" s="18">
        <v>12</v>
      </c>
      <c r="C82" s="19" t="s">
        <v>518</v>
      </c>
      <c r="D82" s="19" t="s">
        <v>524</v>
      </c>
      <c r="E82" s="19">
        <v>250004</v>
      </c>
      <c r="F82" s="19" t="s">
        <v>10</v>
      </c>
      <c r="G82" s="19" t="s">
        <v>113</v>
      </c>
      <c r="H82" s="19" t="str">
        <f>Table2[[#This Row],[نام ]]&amp;" "&amp;Table2[[#This Row],[نام خانوادگی]]</f>
        <v>احمد یزدانیان</v>
      </c>
      <c r="I82" s="20">
        <v>55980000000</v>
      </c>
      <c r="J82" s="21">
        <v>4.7999999999999996E-3</v>
      </c>
      <c r="K82" s="27">
        <f>Table2[[#This Row],[درصد فروشنده]]*Table2[[#This Row],[مبلغ (ریال)]]</f>
        <v>268704000</v>
      </c>
    </row>
    <row r="83" spans="1:11" ht="29.25" customHeight="1">
      <c r="A83" s="18">
        <v>82</v>
      </c>
      <c r="B83" s="18">
        <v>12</v>
      </c>
      <c r="C83" s="19" t="s">
        <v>518</v>
      </c>
      <c r="D83" s="19" t="s">
        <v>524</v>
      </c>
      <c r="E83" s="19">
        <v>250014</v>
      </c>
      <c r="F83" s="19" t="s">
        <v>16</v>
      </c>
      <c r="G83" s="19" t="s">
        <v>122</v>
      </c>
      <c r="H83" s="19" t="str">
        <f>Table2[[#This Row],[نام ]]&amp;" "&amp;Table2[[#This Row],[نام خانوادگی]]</f>
        <v>الهام نیک اندیش</v>
      </c>
      <c r="I83" s="20">
        <v>420350000000</v>
      </c>
      <c r="J83" s="21">
        <v>1.4E-3</v>
      </c>
      <c r="K83" s="27">
        <f>Table2[[#This Row],[درصد فروشنده]]*Table2[[#This Row],[مبلغ (ریال)]]</f>
        <v>588490000</v>
      </c>
    </row>
    <row r="84" spans="1:11" ht="29.25" customHeight="1">
      <c r="A84" s="18">
        <v>83</v>
      </c>
      <c r="B84" s="18">
        <v>12</v>
      </c>
      <c r="C84" s="19" t="s">
        <v>518</v>
      </c>
      <c r="D84" s="19" t="s">
        <v>524</v>
      </c>
      <c r="E84" s="19">
        <v>250022</v>
      </c>
      <c r="F84" s="19" t="s">
        <v>21</v>
      </c>
      <c r="G84" s="19" t="s">
        <v>130</v>
      </c>
      <c r="H84" s="19" t="str">
        <f>Table2[[#This Row],[نام ]]&amp;" "&amp;Table2[[#This Row],[نام خانوادگی]]</f>
        <v>امیر حسین نعمتی جرتوده</v>
      </c>
      <c r="I84" s="20">
        <v>195590000000</v>
      </c>
      <c r="J84" s="21">
        <v>2.0999999999999999E-3</v>
      </c>
      <c r="K84" s="27">
        <f>Table2[[#This Row],[درصد فروشنده]]*Table2[[#This Row],[مبلغ (ریال)]]</f>
        <v>410739000</v>
      </c>
    </row>
    <row r="85" spans="1:11" ht="29.25" customHeight="1">
      <c r="A85" s="18">
        <v>84</v>
      </c>
      <c r="B85" s="28">
        <v>12</v>
      </c>
      <c r="C85" s="23" t="s">
        <v>518</v>
      </c>
      <c r="D85" s="23" t="s">
        <v>524</v>
      </c>
      <c r="E85" s="23">
        <v>250023</v>
      </c>
      <c r="F85" s="23" t="s">
        <v>22</v>
      </c>
      <c r="G85" s="23" t="s">
        <v>131</v>
      </c>
      <c r="H85" s="23" t="str">
        <f>Table2[[#This Row],[نام ]]&amp;" "&amp;Table2[[#This Row],[نام خانوادگی]]</f>
        <v>امیر محمد نعمتی</v>
      </c>
      <c r="I85" s="24">
        <v>231150000000</v>
      </c>
      <c r="J85" s="25">
        <v>2.0999999999999999E-3</v>
      </c>
      <c r="K85" s="29">
        <f>Table2[[#This Row],[درصد فروشنده]]*Table2[[#This Row],[مبلغ (ریال)]]</f>
        <v>485414999.99999994</v>
      </c>
    </row>
  </sheetData>
  <phoneticPr fontId="3" type="noConversion"/>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EFAC8-503A-4B19-8025-01F6B6C97230}">
  <sheetPr codeName="Sheet1"/>
  <dimension ref="A1:N151"/>
  <sheetViews>
    <sheetView showGridLines="0" rightToLeft="1" topLeftCell="C1" zoomScaleNormal="100" workbookViewId="0">
      <selection activeCell="H5" sqref="H5"/>
    </sheetView>
  </sheetViews>
  <sheetFormatPr defaultColWidth="12.5625" defaultRowHeight="29.25" customHeight="1"/>
  <cols>
    <col min="1" max="1" width="8.125" customWidth="1"/>
    <col min="2" max="2" width="16.4375" customWidth="1"/>
    <col min="3" max="3" width="12" bestFit="1" customWidth="1"/>
    <col min="4" max="4" width="15.6875" bestFit="1" customWidth="1"/>
    <col min="5" max="5" width="15.875" bestFit="1" customWidth="1"/>
    <col min="6" max="6" width="13.6875" bestFit="1" customWidth="1"/>
    <col min="7" max="7" width="17.4375" bestFit="1" customWidth="1"/>
    <col min="8" max="8" width="13.3125" customWidth="1"/>
    <col min="9" max="9" width="12.125" bestFit="1" customWidth="1"/>
    <col min="10" max="10" width="15" bestFit="1" customWidth="1"/>
    <col min="11" max="13" width="10.4375" customWidth="1"/>
    <col min="14" max="14" width="19.5625" bestFit="1" customWidth="1"/>
  </cols>
  <sheetData>
    <row r="1" spans="1:14" ht="29.25" customHeight="1">
      <c r="A1" s="4" t="s">
        <v>0</v>
      </c>
      <c r="B1" s="4" t="s">
        <v>469</v>
      </c>
      <c r="C1" s="4" t="s">
        <v>488</v>
      </c>
      <c r="D1" s="4" t="s">
        <v>485</v>
      </c>
      <c r="E1" s="4" t="s">
        <v>484</v>
      </c>
      <c r="F1" s="5" t="s">
        <v>1</v>
      </c>
      <c r="G1" s="5" t="s">
        <v>2</v>
      </c>
      <c r="H1" s="5" t="s">
        <v>3</v>
      </c>
      <c r="I1" s="5" t="s">
        <v>4</v>
      </c>
      <c r="J1" s="5" t="s">
        <v>5</v>
      </c>
      <c r="K1" s="5" t="s">
        <v>473</v>
      </c>
      <c r="L1" s="5" t="s">
        <v>483</v>
      </c>
      <c r="M1" s="5" t="s">
        <v>6</v>
      </c>
      <c r="N1" s="6" t="s">
        <v>7</v>
      </c>
    </row>
    <row r="2" spans="1:14" ht="29.25" customHeight="1">
      <c r="A2" s="2">
        <v>1</v>
      </c>
      <c r="B2" s="2">
        <v>250001</v>
      </c>
      <c r="C2" s="2" t="s">
        <v>489</v>
      </c>
      <c r="D2" s="2" t="s">
        <v>486</v>
      </c>
      <c r="E2" s="2" t="s">
        <v>501</v>
      </c>
      <c r="F2" s="1" t="s">
        <v>8</v>
      </c>
      <c r="G2" s="1" t="s">
        <v>110</v>
      </c>
      <c r="H2" s="1">
        <v>3978923340</v>
      </c>
      <c r="I2" s="1" t="s">
        <v>92</v>
      </c>
      <c r="J2" s="1" t="s">
        <v>326</v>
      </c>
      <c r="K2" s="1" t="str">
        <f>MID(Table1[[#This Row],[تاریخ تولد]],6,2)</f>
        <v>04</v>
      </c>
      <c r="L2" s="1" t="str">
        <f>MID(Table1[[#This Row],[تاریخ تولد]],6,2)</f>
        <v>04</v>
      </c>
      <c r="M2" s="1" t="s">
        <v>463</v>
      </c>
      <c r="N2" s="3" t="s">
        <v>462</v>
      </c>
    </row>
    <row r="3" spans="1:14" ht="29.25" customHeight="1">
      <c r="A3" s="2">
        <v>2</v>
      </c>
      <c r="B3" s="2">
        <v>250002</v>
      </c>
      <c r="C3" s="2" t="s">
        <v>489</v>
      </c>
      <c r="D3" s="2" t="s">
        <v>487</v>
      </c>
      <c r="E3" s="2" t="s">
        <v>501</v>
      </c>
      <c r="F3" s="1" t="s">
        <v>8</v>
      </c>
      <c r="G3" s="1" t="s">
        <v>111</v>
      </c>
      <c r="H3" s="1">
        <v>2338070476</v>
      </c>
      <c r="I3" s="1" t="s">
        <v>259</v>
      </c>
      <c r="J3" s="1" t="s">
        <v>327</v>
      </c>
      <c r="K3" s="1" t="str">
        <f>MID(Table1[[#This Row],[تاریخ تولد]],6,2)</f>
        <v>05</v>
      </c>
      <c r="L3" s="1" t="str">
        <f>MID(Table1[[#This Row],[تاریخ تولد]],6,2)</f>
        <v>05</v>
      </c>
      <c r="M3" s="1" t="s">
        <v>463</v>
      </c>
      <c r="N3" s="3" t="s">
        <v>464</v>
      </c>
    </row>
    <row r="4" spans="1:14" ht="29.25" customHeight="1">
      <c r="A4" s="2">
        <v>3</v>
      </c>
      <c r="B4" s="2">
        <v>250003</v>
      </c>
      <c r="C4" s="2" t="s">
        <v>489</v>
      </c>
      <c r="D4" s="2" t="s">
        <v>487</v>
      </c>
      <c r="E4" s="2" t="s">
        <v>501</v>
      </c>
      <c r="F4" s="1" t="s">
        <v>9</v>
      </c>
      <c r="G4" s="1" t="s">
        <v>112</v>
      </c>
      <c r="H4" s="1">
        <v>1080250485</v>
      </c>
      <c r="I4" s="1" t="s">
        <v>57</v>
      </c>
      <c r="J4" s="1" t="s">
        <v>328</v>
      </c>
      <c r="K4" s="1" t="str">
        <f>MID(Table1[[#This Row],[تاریخ تولد]],6,2)</f>
        <v>03</v>
      </c>
      <c r="L4" s="1" t="str">
        <f>MID(Table1[[#This Row],[تاریخ تولد]],6,2)</f>
        <v>03</v>
      </c>
      <c r="M4" s="1" t="s">
        <v>463</v>
      </c>
      <c r="N4" s="3" t="s">
        <v>464</v>
      </c>
    </row>
    <row r="5" spans="1:14" ht="29.25" customHeight="1">
      <c r="A5" s="2">
        <v>4</v>
      </c>
      <c r="B5" s="2">
        <v>250004</v>
      </c>
      <c r="C5" s="2" t="s">
        <v>489</v>
      </c>
      <c r="D5" s="2" t="s">
        <v>487</v>
      </c>
      <c r="E5" s="2" t="s">
        <v>501</v>
      </c>
      <c r="F5" s="1" t="s">
        <v>10</v>
      </c>
      <c r="G5" s="1" t="s">
        <v>113</v>
      </c>
      <c r="H5" s="1">
        <v>1409964681</v>
      </c>
      <c r="I5" s="1" t="s">
        <v>109</v>
      </c>
      <c r="J5" s="1" t="s">
        <v>329</v>
      </c>
      <c r="K5" s="1" t="str">
        <f>MID(Table1[[#This Row],[تاریخ تولد]],6,2)</f>
        <v>09</v>
      </c>
      <c r="L5" s="1" t="str">
        <f>MID(Table1[[#This Row],[تاریخ تولد]],6,2)</f>
        <v>09</v>
      </c>
      <c r="M5" s="1" t="s">
        <v>463</v>
      </c>
      <c r="N5" s="3" t="s">
        <v>462</v>
      </c>
    </row>
    <row r="6" spans="1:14" ht="29.25" customHeight="1">
      <c r="A6" s="2">
        <v>5</v>
      </c>
      <c r="B6" s="2">
        <v>250005</v>
      </c>
      <c r="C6" s="2" t="s">
        <v>489</v>
      </c>
      <c r="D6" s="2" t="s">
        <v>487</v>
      </c>
      <c r="E6" s="2" t="s">
        <v>502</v>
      </c>
      <c r="F6" s="1" t="s">
        <v>10</v>
      </c>
      <c r="G6" s="1" t="s">
        <v>114</v>
      </c>
      <c r="H6" s="1">
        <v>3802161919</v>
      </c>
      <c r="I6" s="1" t="s">
        <v>90</v>
      </c>
      <c r="J6" s="1" t="s">
        <v>330</v>
      </c>
      <c r="K6" s="1" t="str">
        <f>MID(Table1[[#This Row],[تاریخ تولد]],6,2)</f>
        <v>01</v>
      </c>
      <c r="L6" s="1" t="str">
        <f>MID(Table1[[#This Row],[تاریخ تولد]],6,2)</f>
        <v>01</v>
      </c>
      <c r="M6" s="1" t="s">
        <v>463</v>
      </c>
      <c r="N6" s="3" t="s">
        <v>462</v>
      </c>
    </row>
    <row r="7" spans="1:14" ht="29.25" customHeight="1">
      <c r="A7" s="2">
        <v>6</v>
      </c>
      <c r="B7" s="2">
        <v>250006</v>
      </c>
      <c r="C7" s="2" t="s">
        <v>489</v>
      </c>
      <c r="D7" s="2" t="s">
        <v>487</v>
      </c>
      <c r="E7" s="2" t="s">
        <v>502</v>
      </c>
      <c r="F7" s="1" t="s">
        <v>11</v>
      </c>
      <c r="G7" s="1" t="s">
        <v>115</v>
      </c>
      <c r="H7" s="1">
        <v>8717074791</v>
      </c>
      <c r="I7" s="1" t="s">
        <v>255</v>
      </c>
      <c r="J7" s="1" t="s">
        <v>331</v>
      </c>
      <c r="K7" s="1" t="str">
        <f>MID(Table1[[#This Row],[تاریخ تولد]],6,2)</f>
        <v>07</v>
      </c>
      <c r="L7" s="1" t="str">
        <f>MID(Table1[[#This Row],[تاریخ تولد]],6,2)</f>
        <v>07</v>
      </c>
      <c r="M7" s="1" t="s">
        <v>463</v>
      </c>
      <c r="N7" s="3" t="s">
        <v>462</v>
      </c>
    </row>
    <row r="8" spans="1:14" ht="29.25" customHeight="1">
      <c r="A8" s="2">
        <v>7</v>
      </c>
      <c r="B8" s="2">
        <v>250007</v>
      </c>
      <c r="C8" s="2" t="s">
        <v>489</v>
      </c>
      <c r="D8" s="2" t="s">
        <v>487</v>
      </c>
      <c r="E8" s="2" t="s">
        <v>502</v>
      </c>
      <c r="F8" s="1" t="s">
        <v>12</v>
      </c>
      <c r="G8" s="1" t="s">
        <v>116</v>
      </c>
      <c r="H8" s="1">
        <v>8656680324</v>
      </c>
      <c r="I8" s="1" t="s">
        <v>95</v>
      </c>
      <c r="J8" s="1" t="s">
        <v>332</v>
      </c>
      <c r="K8" s="1" t="str">
        <f>MID(Table1[[#This Row],[تاریخ تولد]],6,2)</f>
        <v>05</v>
      </c>
      <c r="L8" s="1" t="str">
        <f>MID(Table1[[#This Row],[تاریخ تولد]],6,2)</f>
        <v>05</v>
      </c>
      <c r="M8" s="1" t="s">
        <v>461</v>
      </c>
      <c r="N8" s="3" t="s">
        <v>462</v>
      </c>
    </row>
    <row r="9" spans="1:14" ht="29.25" customHeight="1">
      <c r="A9" s="2">
        <v>8</v>
      </c>
      <c r="B9" s="2">
        <v>250008</v>
      </c>
      <c r="C9" s="2" t="s">
        <v>489</v>
      </c>
      <c r="D9" s="2" t="s">
        <v>487</v>
      </c>
      <c r="E9" s="2" t="s">
        <v>502</v>
      </c>
      <c r="F9" s="1" t="s">
        <v>13</v>
      </c>
      <c r="G9" s="1" t="s">
        <v>117</v>
      </c>
      <c r="H9" s="1">
        <v>7665400285</v>
      </c>
      <c r="I9" s="1" t="s">
        <v>73</v>
      </c>
      <c r="J9" s="1" t="s">
        <v>333</v>
      </c>
      <c r="K9" s="1" t="str">
        <f>MID(Table1[[#This Row],[تاریخ تولد]],6,2)</f>
        <v>06</v>
      </c>
      <c r="L9" s="1" t="str">
        <f>MID(Table1[[#This Row],[تاریخ تولد]],6,2)</f>
        <v>06</v>
      </c>
      <c r="M9" s="1" t="s">
        <v>463</v>
      </c>
      <c r="N9" s="3" t="s">
        <v>462</v>
      </c>
    </row>
    <row r="10" spans="1:14" ht="29.25" customHeight="1">
      <c r="A10" s="2">
        <v>9</v>
      </c>
      <c r="B10" s="2">
        <v>250009</v>
      </c>
      <c r="C10" s="2" t="s">
        <v>489</v>
      </c>
      <c r="D10" s="2" t="s">
        <v>487</v>
      </c>
      <c r="E10" s="2" t="s">
        <v>503</v>
      </c>
      <c r="F10" s="1" t="s">
        <v>14</v>
      </c>
      <c r="G10" s="1" t="s">
        <v>118</v>
      </c>
      <c r="H10" s="1">
        <v>4805006844</v>
      </c>
      <c r="I10" s="1" t="s">
        <v>274</v>
      </c>
      <c r="J10" s="1" t="s">
        <v>334</v>
      </c>
      <c r="K10" s="1" t="str">
        <f>MID(Table1[[#This Row],[تاریخ تولد]],6,2)</f>
        <v>10</v>
      </c>
      <c r="L10" s="1" t="str">
        <f>MID(Table1[[#This Row],[تاریخ تولد]],6,2)</f>
        <v>10</v>
      </c>
      <c r="M10" s="1" t="s">
        <v>461</v>
      </c>
      <c r="N10" s="3" t="s">
        <v>465</v>
      </c>
    </row>
    <row r="11" spans="1:14" ht="29.25" customHeight="1">
      <c r="A11" s="2">
        <v>10</v>
      </c>
      <c r="B11" s="2">
        <v>250010</v>
      </c>
      <c r="C11" s="2" t="s">
        <v>489</v>
      </c>
      <c r="D11" s="2" t="s">
        <v>486</v>
      </c>
      <c r="E11" s="2" t="s">
        <v>503</v>
      </c>
      <c r="F11" s="1" t="s">
        <v>15</v>
      </c>
      <c r="G11" s="1" t="s">
        <v>118</v>
      </c>
      <c r="H11" s="1">
        <v>3822698823</v>
      </c>
      <c r="I11" s="1" t="s">
        <v>95</v>
      </c>
      <c r="J11" s="1" t="s">
        <v>335</v>
      </c>
      <c r="K11" s="1" t="str">
        <f>MID(Table1[[#This Row],[تاریخ تولد]],6,2)</f>
        <v>01</v>
      </c>
      <c r="L11" s="1" t="str">
        <f>MID(Table1[[#This Row],[تاریخ تولد]],6,2)</f>
        <v>01</v>
      </c>
      <c r="M11" s="1" t="s">
        <v>463</v>
      </c>
      <c r="N11" s="3" t="s">
        <v>464</v>
      </c>
    </row>
    <row r="12" spans="1:14" ht="29.25" customHeight="1">
      <c r="A12" s="2">
        <v>11</v>
      </c>
      <c r="B12" s="2">
        <v>250011</v>
      </c>
      <c r="C12" s="2" t="s">
        <v>490</v>
      </c>
      <c r="D12" s="2" t="s">
        <v>486</v>
      </c>
      <c r="E12" s="2" t="s">
        <v>503</v>
      </c>
      <c r="F12" s="1" t="s">
        <v>16</v>
      </c>
      <c r="G12" s="1" t="s">
        <v>119</v>
      </c>
      <c r="H12" s="1">
        <v>2164182890</v>
      </c>
      <c r="I12" s="1" t="s">
        <v>49</v>
      </c>
      <c r="J12" s="1" t="s">
        <v>336</v>
      </c>
      <c r="K12" s="1" t="str">
        <f>MID(Table1[[#This Row],[تاریخ تولد]],6,2)</f>
        <v>06</v>
      </c>
      <c r="L12" s="1" t="str">
        <f>MID(Table1[[#This Row],[تاریخ تولد]],6,2)</f>
        <v>06</v>
      </c>
      <c r="M12" s="1" t="s">
        <v>461</v>
      </c>
      <c r="N12" s="3" t="s">
        <v>464</v>
      </c>
    </row>
    <row r="13" spans="1:14" ht="29.25" customHeight="1">
      <c r="A13" s="2">
        <v>12</v>
      </c>
      <c r="B13" s="2">
        <v>250012</v>
      </c>
      <c r="C13" s="2" t="s">
        <v>490</v>
      </c>
      <c r="D13" s="2" t="s">
        <v>487</v>
      </c>
      <c r="E13" s="2" t="s">
        <v>503</v>
      </c>
      <c r="F13" s="1" t="s">
        <v>16</v>
      </c>
      <c r="G13" s="1" t="s">
        <v>120</v>
      </c>
      <c r="H13" s="1">
        <v>1877743971</v>
      </c>
      <c r="I13" s="1" t="s">
        <v>303</v>
      </c>
      <c r="J13" s="1" t="s">
        <v>337</v>
      </c>
      <c r="K13" s="1" t="str">
        <f>MID(Table1[[#This Row],[تاریخ تولد]],6,2)</f>
        <v>08</v>
      </c>
      <c r="L13" s="1" t="str">
        <f>MID(Table1[[#This Row],[تاریخ تولد]],6,2)</f>
        <v>08</v>
      </c>
      <c r="M13" s="1" t="s">
        <v>461</v>
      </c>
      <c r="N13" s="3" t="s">
        <v>462</v>
      </c>
    </row>
    <row r="14" spans="1:14" ht="29.25" customHeight="1">
      <c r="A14" s="2">
        <v>13</v>
      </c>
      <c r="B14" s="2">
        <v>250013</v>
      </c>
      <c r="C14" s="2" t="s">
        <v>490</v>
      </c>
      <c r="D14" s="2" t="s">
        <v>487</v>
      </c>
      <c r="E14" s="2" t="s">
        <v>503</v>
      </c>
      <c r="F14" s="1" t="s">
        <v>16</v>
      </c>
      <c r="G14" s="1" t="s">
        <v>121</v>
      </c>
      <c r="H14" s="1">
        <v>2694674698</v>
      </c>
      <c r="I14" s="1" t="s">
        <v>269</v>
      </c>
      <c r="J14" s="1" t="s">
        <v>338</v>
      </c>
      <c r="K14" s="1" t="str">
        <f>MID(Table1[[#This Row],[تاریخ تولد]],6,2)</f>
        <v>06</v>
      </c>
      <c r="L14" s="1" t="str">
        <f>MID(Table1[[#This Row],[تاریخ تولد]],6,2)</f>
        <v>06</v>
      </c>
      <c r="M14" s="1" t="s">
        <v>461</v>
      </c>
      <c r="N14" s="3" t="s">
        <v>464</v>
      </c>
    </row>
    <row r="15" spans="1:14" ht="29.25" customHeight="1">
      <c r="A15" s="2">
        <v>14</v>
      </c>
      <c r="B15" s="2">
        <v>250014</v>
      </c>
      <c r="C15" s="2" t="s">
        <v>490</v>
      </c>
      <c r="D15" s="2" t="s">
        <v>487</v>
      </c>
      <c r="E15" s="2" t="s">
        <v>501</v>
      </c>
      <c r="F15" s="1" t="s">
        <v>16</v>
      </c>
      <c r="G15" s="1" t="s">
        <v>122</v>
      </c>
      <c r="H15" s="1">
        <v>2988987112</v>
      </c>
      <c r="I15" s="1" t="s">
        <v>103</v>
      </c>
      <c r="J15" s="1" t="s">
        <v>339</v>
      </c>
      <c r="K15" s="1" t="str">
        <f>MID(Table1[[#This Row],[تاریخ تولد]],6,2)</f>
        <v>11</v>
      </c>
      <c r="L15" s="1" t="str">
        <f>MID(Table1[[#This Row],[تاریخ تولد]],6,2)</f>
        <v>11</v>
      </c>
      <c r="M15" s="1" t="s">
        <v>461</v>
      </c>
      <c r="N15" s="3" t="s">
        <v>465</v>
      </c>
    </row>
    <row r="16" spans="1:14" ht="29.25" customHeight="1">
      <c r="A16" s="2">
        <v>15</v>
      </c>
      <c r="B16" s="2">
        <v>250015</v>
      </c>
      <c r="C16" s="2" t="s">
        <v>490</v>
      </c>
      <c r="D16" s="2" t="s">
        <v>487</v>
      </c>
      <c r="E16" s="2" t="s">
        <v>502</v>
      </c>
      <c r="F16" s="1" t="s">
        <v>16</v>
      </c>
      <c r="G16" s="1" t="s">
        <v>123</v>
      </c>
      <c r="H16" s="1">
        <v>5556073149</v>
      </c>
      <c r="I16" s="1" t="s">
        <v>95</v>
      </c>
      <c r="J16" s="1" t="s">
        <v>340</v>
      </c>
      <c r="K16" s="1" t="str">
        <f>MID(Table1[[#This Row],[تاریخ تولد]],6,2)</f>
        <v>05</v>
      </c>
      <c r="L16" s="1" t="str">
        <f>MID(Table1[[#This Row],[تاریخ تولد]],6,2)</f>
        <v>05</v>
      </c>
      <c r="M16" s="1" t="s">
        <v>461</v>
      </c>
      <c r="N16" s="3" t="s">
        <v>464</v>
      </c>
    </row>
    <row r="17" spans="1:14" ht="29.25" customHeight="1">
      <c r="A17" s="2">
        <v>16</v>
      </c>
      <c r="B17" s="2">
        <v>250016</v>
      </c>
      <c r="C17" s="2" t="s">
        <v>491</v>
      </c>
      <c r="D17" s="2" t="s">
        <v>486</v>
      </c>
      <c r="E17" s="2" t="s">
        <v>502</v>
      </c>
      <c r="F17" s="1" t="s">
        <v>17</v>
      </c>
      <c r="G17" s="1" t="s">
        <v>124</v>
      </c>
      <c r="H17" s="1">
        <v>8821440797</v>
      </c>
      <c r="I17" s="1" t="s">
        <v>270</v>
      </c>
      <c r="J17" s="1" t="s">
        <v>341</v>
      </c>
      <c r="K17" s="1" t="str">
        <f>MID(Table1[[#This Row],[تاریخ تولد]],6,2)</f>
        <v>06</v>
      </c>
      <c r="L17" s="1" t="str">
        <f>MID(Table1[[#This Row],[تاریخ تولد]],6,2)</f>
        <v>06</v>
      </c>
      <c r="M17" s="1" t="s">
        <v>461</v>
      </c>
      <c r="N17" s="3" t="s">
        <v>462</v>
      </c>
    </row>
    <row r="18" spans="1:14" ht="29.25" customHeight="1">
      <c r="A18" s="2">
        <v>17</v>
      </c>
      <c r="B18" s="2">
        <v>250017</v>
      </c>
      <c r="C18" s="2" t="s">
        <v>491</v>
      </c>
      <c r="D18" s="2" t="s">
        <v>486</v>
      </c>
      <c r="E18" s="2" t="s">
        <v>502</v>
      </c>
      <c r="F18" s="1" t="s">
        <v>18</v>
      </c>
      <c r="G18" s="1" t="s">
        <v>125</v>
      </c>
      <c r="H18" s="1">
        <v>2816972594</v>
      </c>
      <c r="I18" s="1" t="s">
        <v>277</v>
      </c>
      <c r="J18" s="1" t="s">
        <v>342</v>
      </c>
      <c r="K18" s="1" t="str">
        <f>MID(Table1[[#This Row],[تاریخ تولد]],6,2)</f>
        <v>06</v>
      </c>
      <c r="L18" s="1" t="str">
        <f>MID(Table1[[#This Row],[تاریخ تولد]],6,2)</f>
        <v>06</v>
      </c>
      <c r="M18" s="1" t="s">
        <v>463</v>
      </c>
      <c r="N18" s="3" t="s">
        <v>464</v>
      </c>
    </row>
    <row r="19" spans="1:14" ht="29.25" customHeight="1">
      <c r="A19" s="2">
        <v>18</v>
      </c>
      <c r="B19" s="2">
        <v>250018</v>
      </c>
      <c r="C19" s="2" t="s">
        <v>491</v>
      </c>
      <c r="D19" s="2" t="s">
        <v>486</v>
      </c>
      <c r="E19" s="2" t="s">
        <v>502</v>
      </c>
      <c r="F19" s="1" t="s">
        <v>18</v>
      </c>
      <c r="G19" s="1" t="s">
        <v>126</v>
      </c>
      <c r="H19" s="1">
        <v>1660204868</v>
      </c>
      <c r="I19" s="1" t="s">
        <v>305</v>
      </c>
      <c r="J19" s="1" t="s">
        <v>343</v>
      </c>
      <c r="K19" s="1" t="str">
        <f>MID(Table1[[#This Row],[تاریخ تولد]],6,2)</f>
        <v>04</v>
      </c>
      <c r="L19" s="1" t="str">
        <f>MID(Table1[[#This Row],[تاریخ تولد]],6,2)</f>
        <v>04</v>
      </c>
      <c r="M19" s="1" t="s">
        <v>463</v>
      </c>
      <c r="N19" s="3" t="s">
        <v>462</v>
      </c>
    </row>
    <row r="20" spans="1:14" ht="29.25" customHeight="1">
      <c r="A20" s="2">
        <v>19</v>
      </c>
      <c r="B20" s="2">
        <v>250019</v>
      </c>
      <c r="C20" s="2" t="s">
        <v>491</v>
      </c>
      <c r="D20" s="2" t="s">
        <v>487</v>
      </c>
      <c r="E20" s="2" t="s">
        <v>503</v>
      </c>
      <c r="F20" s="1" t="s">
        <v>19</v>
      </c>
      <c r="G20" s="1" t="s">
        <v>127</v>
      </c>
      <c r="H20" s="1">
        <v>3837220718</v>
      </c>
      <c r="I20" s="1" t="s">
        <v>278</v>
      </c>
      <c r="J20" s="1" t="s">
        <v>344</v>
      </c>
      <c r="K20" s="1" t="str">
        <f>MID(Table1[[#This Row],[تاریخ تولد]],6,2)</f>
        <v>02</v>
      </c>
      <c r="L20" s="1" t="str">
        <f>MID(Table1[[#This Row],[تاریخ تولد]],6,2)</f>
        <v>02</v>
      </c>
      <c r="M20" s="1" t="s">
        <v>463</v>
      </c>
      <c r="N20" s="3" t="s">
        <v>465</v>
      </c>
    </row>
    <row r="21" spans="1:14" ht="29.25" customHeight="1">
      <c r="A21" s="2">
        <v>20</v>
      </c>
      <c r="B21" s="2">
        <v>250020</v>
      </c>
      <c r="C21" s="2" t="s">
        <v>491</v>
      </c>
      <c r="D21" s="2" t="s">
        <v>486</v>
      </c>
      <c r="E21" s="2" t="s">
        <v>503</v>
      </c>
      <c r="F21" s="1" t="s">
        <v>19</v>
      </c>
      <c r="G21" s="1" t="s">
        <v>128</v>
      </c>
      <c r="H21" s="1">
        <v>5369227495</v>
      </c>
      <c r="I21" s="1" t="s">
        <v>102</v>
      </c>
      <c r="J21" s="1" t="s">
        <v>345</v>
      </c>
      <c r="K21" s="1" t="str">
        <f>MID(Table1[[#This Row],[تاریخ تولد]],6,2)</f>
        <v>06</v>
      </c>
      <c r="L21" s="1" t="str">
        <f>MID(Table1[[#This Row],[تاریخ تولد]],6,2)</f>
        <v>06</v>
      </c>
      <c r="M21" s="1" t="s">
        <v>463</v>
      </c>
      <c r="N21" s="3" t="s">
        <v>462</v>
      </c>
    </row>
    <row r="22" spans="1:14" ht="29.25" customHeight="1">
      <c r="A22" s="2">
        <v>21</v>
      </c>
      <c r="B22" s="2">
        <v>250021</v>
      </c>
      <c r="C22" s="2" t="s">
        <v>491</v>
      </c>
      <c r="D22" s="2" t="s">
        <v>487</v>
      </c>
      <c r="E22" s="2" t="s">
        <v>503</v>
      </c>
      <c r="F22" s="1" t="s">
        <v>20</v>
      </c>
      <c r="G22" s="1" t="s">
        <v>129</v>
      </c>
      <c r="H22" s="1">
        <v>5344087639</v>
      </c>
      <c r="I22" s="1" t="s">
        <v>268</v>
      </c>
      <c r="J22" s="1" t="s">
        <v>346</v>
      </c>
      <c r="K22" s="1" t="str">
        <f>MID(Table1[[#This Row],[تاریخ تولد]],6,2)</f>
        <v>06</v>
      </c>
      <c r="L22" s="1" t="str">
        <f>MID(Table1[[#This Row],[تاریخ تولد]],6,2)</f>
        <v>06</v>
      </c>
      <c r="M22" s="1" t="s">
        <v>463</v>
      </c>
      <c r="N22" s="3" t="s">
        <v>464</v>
      </c>
    </row>
    <row r="23" spans="1:14" ht="29.25" customHeight="1">
      <c r="A23" s="2">
        <v>22</v>
      </c>
      <c r="B23" s="2">
        <v>250022</v>
      </c>
      <c r="C23" s="2" t="s">
        <v>491</v>
      </c>
      <c r="D23" s="2" t="s">
        <v>487</v>
      </c>
      <c r="E23" s="2" t="s">
        <v>501</v>
      </c>
      <c r="F23" s="1" t="s">
        <v>21</v>
      </c>
      <c r="G23" s="1" t="s">
        <v>130</v>
      </c>
      <c r="H23" s="1">
        <v>1076026071</v>
      </c>
      <c r="I23" s="1" t="s">
        <v>276</v>
      </c>
      <c r="J23" s="1" t="s">
        <v>347</v>
      </c>
      <c r="K23" s="1" t="str">
        <f>MID(Table1[[#This Row],[تاریخ تولد]],6,2)</f>
        <v>08</v>
      </c>
      <c r="L23" s="1" t="str">
        <f>MID(Table1[[#This Row],[تاریخ تولد]],6,2)</f>
        <v>08</v>
      </c>
      <c r="M23" s="1" t="s">
        <v>463</v>
      </c>
      <c r="N23" s="3" t="s">
        <v>464</v>
      </c>
    </row>
    <row r="24" spans="1:14" ht="29.25" customHeight="1">
      <c r="A24" s="2">
        <v>23</v>
      </c>
      <c r="B24" s="2">
        <v>250023</v>
      </c>
      <c r="C24" s="2" t="s">
        <v>491</v>
      </c>
      <c r="D24" s="2" t="s">
        <v>487</v>
      </c>
      <c r="E24" s="2" t="s">
        <v>501</v>
      </c>
      <c r="F24" s="1" t="s">
        <v>22</v>
      </c>
      <c r="G24" s="1" t="s">
        <v>131</v>
      </c>
      <c r="H24" s="1">
        <v>4697232598</v>
      </c>
      <c r="I24" s="1" t="s">
        <v>324</v>
      </c>
      <c r="J24" s="1" t="s">
        <v>348</v>
      </c>
      <c r="K24" s="1" t="str">
        <f>MID(Table1[[#This Row],[تاریخ تولد]],6,2)</f>
        <v>06</v>
      </c>
      <c r="L24" s="1" t="str">
        <f>MID(Table1[[#This Row],[تاریخ تولد]],6,2)</f>
        <v>06</v>
      </c>
      <c r="M24" s="1" t="s">
        <v>463</v>
      </c>
      <c r="N24" s="3" t="s">
        <v>465</v>
      </c>
    </row>
    <row r="25" spans="1:14" ht="29.25" customHeight="1">
      <c r="A25" s="2">
        <v>24</v>
      </c>
      <c r="B25" s="2">
        <v>250024</v>
      </c>
      <c r="C25" s="2" t="s">
        <v>492</v>
      </c>
      <c r="D25" s="2" t="s">
        <v>487</v>
      </c>
      <c r="E25" s="2" t="s">
        <v>504</v>
      </c>
      <c r="F25" s="1" t="s">
        <v>23</v>
      </c>
      <c r="G25" s="1" t="s">
        <v>132</v>
      </c>
      <c r="H25" s="1">
        <v>7661483180</v>
      </c>
      <c r="I25" s="1" t="s">
        <v>108</v>
      </c>
      <c r="J25" s="1" t="s">
        <v>349</v>
      </c>
      <c r="K25" s="1" t="str">
        <f>MID(Table1[[#This Row],[تاریخ تولد]],6,2)</f>
        <v>06</v>
      </c>
      <c r="L25" s="1" t="str">
        <f>MID(Table1[[#This Row],[تاریخ تولد]],6,2)</f>
        <v>06</v>
      </c>
      <c r="M25" s="1" t="s">
        <v>463</v>
      </c>
      <c r="N25" s="3" t="s">
        <v>464</v>
      </c>
    </row>
    <row r="26" spans="1:14" ht="29.25" customHeight="1">
      <c r="A26" s="2">
        <v>25</v>
      </c>
      <c r="B26" s="2">
        <v>250025</v>
      </c>
      <c r="C26" s="2" t="s">
        <v>492</v>
      </c>
      <c r="D26" s="2" t="s">
        <v>487</v>
      </c>
      <c r="E26" s="2" t="s">
        <v>504</v>
      </c>
      <c r="F26" s="1" t="s">
        <v>23</v>
      </c>
      <c r="G26" s="1" t="s">
        <v>132</v>
      </c>
      <c r="H26" s="1">
        <v>4367430246</v>
      </c>
      <c r="I26" s="1" t="s">
        <v>279</v>
      </c>
      <c r="J26" s="1" t="s">
        <v>350</v>
      </c>
      <c r="K26" s="1" t="str">
        <f>MID(Table1[[#This Row],[تاریخ تولد]],6,2)</f>
        <v>05</v>
      </c>
      <c r="L26" s="1" t="str">
        <f>MID(Table1[[#This Row],[تاریخ تولد]],6,2)</f>
        <v>05</v>
      </c>
      <c r="M26" s="1" t="s">
        <v>463</v>
      </c>
      <c r="N26" s="3" t="s">
        <v>464</v>
      </c>
    </row>
    <row r="27" spans="1:14" ht="29.25" customHeight="1">
      <c r="A27" s="2">
        <v>26</v>
      </c>
      <c r="B27" s="2">
        <v>250026</v>
      </c>
      <c r="C27" s="2" t="s">
        <v>492</v>
      </c>
      <c r="D27" s="2" t="s">
        <v>487</v>
      </c>
      <c r="E27" s="2" t="s">
        <v>504</v>
      </c>
      <c r="F27" s="1" t="s">
        <v>24</v>
      </c>
      <c r="G27" s="1" t="s">
        <v>133</v>
      </c>
      <c r="H27" s="1">
        <v>4980048128</v>
      </c>
      <c r="I27" s="1" t="s">
        <v>316</v>
      </c>
      <c r="J27" s="1" t="s">
        <v>351</v>
      </c>
      <c r="K27" s="1" t="str">
        <f>MID(Table1[[#This Row],[تاریخ تولد]],6,2)</f>
        <v>10</v>
      </c>
      <c r="L27" s="1" t="str">
        <f>MID(Table1[[#This Row],[تاریخ تولد]],6,2)</f>
        <v>10</v>
      </c>
      <c r="M27" s="1" t="s">
        <v>461</v>
      </c>
      <c r="N27" s="3" t="s">
        <v>464</v>
      </c>
    </row>
    <row r="28" spans="1:14" ht="29.25" customHeight="1">
      <c r="A28" s="2">
        <v>27</v>
      </c>
      <c r="B28" s="2">
        <v>250027</v>
      </c>
      <c r="C28" s="2" t="s">
        <v>492</v>
      </c>
      <c r="D28" s="2" t="s">
        <v>487</v>
      </c>
      <c r="E28" s="2" t="s">
        <v>504</v>
      </c>
      <c r="F28" s="1" t="s">
        <v>25</v>
      </c>
      <c r="G28" s="1" t="s">
        <v>134</v>
      </c>
      <c r="H28" s="1">
        <v>7987368669</v>
      </c>
      <c r="I28" s="1" t="s">
        <v>306</v>
      </c>
      <c r="J28" s="1" t="s">
        <v>352</v>
      </c>
      <c r="K28" s="1" t="str">
        <f>MID(Table1[[#This Row],[تاریخ تولد]],6,2)</f>
        <v>06</v>
      </c>
      <c r="L28" s="1" t="str">
        <f>MID(Table1[[#This Row],[تاریخ تولد]],6,2)</f>
        <v>06</v>
      </c>
      <c r="M28" s="1" t="s">
        <v>461</v>
      </c>
      <c r="N28" s="3" t="s">
        <v>464</v>
      </c>
    </row>
    <row r="29" spans="1:14" ht="29.25" customHeight="1">
      <c r="A29" s="2">
        <v>28</v>
      </c>
      <c r="B29" s="2">
        <v>250028</v>
      </c>
      <c r="C29" s="2" t="s">
        <v>493</v>
      </c>
      <c r="D29" s="2" t="s">
        <v>487</v>
      </c>
      <c r="E29" s="2" t="s">
        <v>504</v>
      </c>
      <c r="F29" s="1" t="s">
        <v>26</v>
      </c>
      <c r="G29" s="1" t="s">
        <v>135</v>
      </c>
      <c r="H29" s="1">
        <v>3739681473</v>
      </c>
      <c r="I29" s="1" t="s">
        <v>291</v>
      </c>
      <c r="J29" s="1" t="s">
        <v>353</v>
      </c>
      <c r="K29" s="1" t="str">
        <f>MID(Table1[[#This Row],[تاریخ تولد]],6,2)</f>
        <v>03</v>
      </c>
      <c r="L29" s="1" t="str">
        <f>MID(Table1[[#This Row],[تاریخ تولد]],6,2)</f>
        <v>03</v>
      </c>
      <c r="M29" s="1" t="s">
        <v>463</v>
      </c>
      <c r="N29" s="3" t="s">
        <v>462</v>
      </c>
    </row>
    <row r="30" spans="1:14" ht="29.25" customHeight="1">
      <c r="A30" s="2">
        <v>29</v>
      </c>
      <c r="B30" s="2">
        <v>250029</v>
      </c>
      <c r="C30" s="2" t="s">
        <v>493</v>
      </c>
      <c r="D30" s="2" t="s">
        <v>487</v>
      </c>
      <c r="E30" s="2" t="s">
        <v>504</v>
      </c>
      <c r="F30" s="1" t="s">
        <v>26</v>
      </c>
      <c r="G30" s="1" t="s">
        <v>136</v>
      </c>
      <c r="H30" s="1">
        <v>7768102629</v>
      </c>
      <c r="I30" s="1" t="s">
        <v>322</v>
      </c>
      <c r="J30" s="1" t="s">
        <v>354</v>
      </c>
      <c r="K30" s="1" t="str">
        <f>MID(Table1[[#This Row],[تاریخ تولد]],6,2)</f>
        <v>06</v>
      </c>
      <c r="L30" s="1" t="str">
        <f>MID(Table1[[#This Row],[تاریخ تولد]],6,2)</f>
        <v>06</v>
      </c>
      <c r="M30" s="1" t="s">
        <v>463</v>
      </c>
      <c r="N30" s="3" t="s">
        <v>465</v>
      </c>
    </row>
    <row r="31" spans="1:14" ht="29.25" customHeight="1">
      <c r="A31" s="2">
        <v>30</v>
      </c>
      <c r="B31" s="2">
        <v>250030</v>
      </c>
      <c r="C31" s="2" t="s">
        <v>493</v>
      </c>
      <c r="D31" s="2" t="s">
        <v>487</v>
      </c>
      <c r="E31" s="2" t="s">
        <v>504</v>
      </c>
      <c r="F31" s="1" t="s">
        <v>27</v>
      </c>
      <c r="G31" s="1" t="s">
        <v>137</v>
      </c>
      <c r="H31" s="1">
        <v>5045757975</v>
      </c>
      <c r="I31" s="1" t="s">
        <v>318</v>
      </c>
      <c r="J31" s="1" t="s">
        <v>355</v>
      </c>
      <c r="K31" s="1" t="str">
        <f>MID(Table1[[#This Row],[تاریخ تولد]],6,2)</f>
        <v>06</v>
      </c>
      <c r="L31" s="1" t="str">
        <f>MID(Table1[[#This Row],[تاریخ تولد]],6,2)</f>
        <v>06</v>
      </c>
      <c r="M31" s="1" t="s">
        <v>463</v>
      </c>
      <c r="N31" s="3" t="s">
        <v>464</v>
      </c>
    </row>
    <row r="32" spans="1:14" ht="29.25" customHeight="1">
      <c r="A32" s="2">
        <v>31</v>
      </c>
      <c r="B32" s="2">
        <v>250031</v>
      </c>
      <c r="C32" s="2" t="s">
        <v>493</v>
      </c>
      <c r="D32" s="2" t="s">
        <v>487</v>
      </c>
      <c r="E32" s="2" t="s">
        <v>504</v>
      </c>
      <c r="F32" s="1" t="s">
        <v>28</v>
      </c>
      <c r="G32" s="1" t="s">
        <v>138</v>
      </c>
      <c r="H32" s="1">
        <v>6813978606</v>
      </c>
      <c r="I32" s="1" t="s">
        <v>252</v>
      </c>
      <c r="J32" s="1" t="s">
        <v>356</v>
      </c>
      <c r="K32" s="1" t="str">
        <f>MID(Table1[[#This Row],[تاریخ تولد]],6,2)</f>
        <v>09</v>
      </c>
      <c r="L32" s="1" t="str">
        <f>MID(Table1[[#This Row],[تاریخ تولد]],6,2)</f>
        <v>09</v>
      </c>
      <c r="M32" s="1" t="s">
        <v>461</v>
      </c>
      <c r="N32" s="3" t="s">
        <v>465</v>
      </c>
    </row>
    <row r="33" spans="1:14" ht="29.25" customHeight="1">
      <c r="A33" s="2">
        <v>32</v>
      </c>
      <c r="B33" s="2">
        <v>250032</v>
      </c>
      <c r="C33" s="2" t="s">
        <v>493</v>
      </c>
      <c r="D33" s="2" t="s">
        <v>487</v>
      </c>
      <c r="E33" s="2" t="s">
        <v>504</v>
      </c>
      <c r="F33" s="1" t="s">
        <v>29</v>
      </c>
      <c r="G33" s="1" t="s">
        <v>139</v>
      </c>
      <c r="H33" s="1">
        <v>4211846510</v>
      </c>
      <c r="I33" s="1" t="s">
        <v>284</v>
      </c>
      <c r="J33" s="1" t="s">
        <v>357</v>
      </c>
      <c r="K33" s="1" t="str">
        <f>MID(Table1[[#This Row],[تاریخ تولد]],6,2)</f>
        <v>02</v>
      </c>
      <c r="L33" s="1" t="str">
        <f>MID(Table1[[#This Row],[تاریخ تولد]],6,2)</f>
        <v>02</v>
      </c>
      <c r="M33" s="1" t="s">
        <v>463</v>
      </c>
      <c r="N33" s="3" t="s">
        <v>464</v>
      </c>
    </row>
    <row r="34" spans="1:14" ht="29.25" customHeight="1">
      <c r="A34" s="2">
        <v>33</v>
      </c>
      <c r="B34" s="2">
        <v>250033</v>
      </c>
      <c r="C34" s="2" t="s">
        <v>493</v>
      </c>
      <c r="D34" s="2" t="s">
        <v>487</v>
      </c>
      <c r="E34" s="2" t="s">
        <v>504</v>
      </c>
      <c r="F34" s="1" t="s">
        <v>30</v>
      </c>
      <c r="G34" s="1" t="s">
        <v>140</v>
      </c>
      <c r="H34" s="1">
        <v>3459414538</v>
      </c>
      <c r="I34" s="1" t="s">
        <v>72</v>
      </c>
      <c r="J34" s="1" t="s">
        <v>358</v>
      </c>
      <c r="K34" s="1" t="str">
        <f>MID(Table1[[#This Row],[تاریخ تولد]],6,2)</f>
        <v>06</v>
      </c>
      <c r="L34" s="1" t="str">
        <f>MID(Table1[[#This Row],[تاریخ تولد]],6,2)</f>
        <v>06</v>
      </c>
      <c r="M34" s="1" t="s">
        <v>461</v>
      </c>
      <c r="N34" s="3" t="s">
        <v>464</v>
      </c>
    </row>
    <row r="35" spans="1:14" ht="29.25" customHeight="1">
      <c r="A35" s="2">
        <v>34</v>
      </c>
      <c r="B35" s="2">
        <v>250034</v>
      </c>
      <c r="C35" s="2" t="s">
        <v>493</v>
      </c>
      <c r="D35" s="2" t="s">
        <v>487</v>
      </c>
      <c r="E35" s="2" t="s">
        <v>504</v>
      </c>
      <c r="F35" s="1" t="s">
        <v>31</v>
      </c>
      <c r="G35" s="1" t="s">
        <v>141</v>
      </c>
      <c r="H35" s="1">
        <v>4635148317</v>
      </c>
      <c r="I35" s="1" t="s">
        <v>259</v>
      </c>
      <c r="J35" s="1" t="s">
        <v>359</v>
      </c>
      <c r="K35" s="1" t="str">
        <f>MID(Table1[[#This Row],[تاریخ تولد]],6,2)</f>
        <v>06</v>
      </c>
      <c r="L35" s="1" t="str">
        <f>MID(Table1[[#This Row],[تاریخ تولد]],6,2)</f>
        <v>06</v>
      </c>
      <c r="M35" s="1" t="s">
        <v>461</v>
      </c>
      <c r="N35" s="3" t="s">
        <v>466</v>
      </c>
    </row>
    <row r="36" spans="1:14" ht="29.25" customHeight="1">
      <c r="A36" s="2">
        <v>35</v>
      </c>
      <c r="B36" s="2">
        <v>250035</v>
      </c>
      <c r="C36" s="2" t="s">
        <v>493</v>
      </c>
      <c r="D36" s="2" t="s">
        <v>487</v>
      </c>
      <c r="E36" s="2" t="s">
        <v>504</v>
      </c>
      <c r="F36" s="1" t="s">
        <v>32</v>
      </c>
      <c r="G36" s="1" t="s">
        <v>142</v>
      </c>
      <c r="H36" s="1">
        <v>5748240524</v>
      </c>
      <c r="I36" s="1" t="s">
        <v>48</v>
      </c>
      <c r="J36" s="1" t="s">
        <v>360</v>
      </c>
      <c r="K36" s="1" t="str">
        <f>MID(Table1[[#This Row],[تاریخ تولد]],6,2)</f>
        <v>05</v>
      </c>
      <c r="L36" s="1" t="str">
        <f>MID(Table1[[#This Row],[تاریخ تولد]],6,2)</f>
        <v>05</v>
      </c>
      <c r="M36" s="1" t="s">
        <v>461</v>
      </c>
      <c r="N36" s="3" t="s">
        <v>462</v>
      </c>
    </row>
    <row r="37" spans="1:14" ht="29.25" customHeight="1">
      <c r="A37" s="2">
        <v>36</v>
      </c>
      <c r="B37" s="2">
        <v>250036</v>
      </c>
      <c r="C37" s="2" t="s">
        <v>495</v>
      </c>
      <c r="D37" s="2" t="s">
        <v>487</v>
      </c>
      <c r="E37" s="2" t="s">
        <v>499</v>
      </c>
      <c r="F37" s="1" t="s">
        <v>33</v>
      </c>
      <c r="G37" s="1" t="s">
        <v>143</v>
      </c>
      <c r="H37" s="1">
        <v>7145326774</v>
      </c>
      <c r="I37" s="1" t="s">
        <v>103</v>
      </c>
      <c r="J37" s="1" t="s">
        <v>361</v>
      </c>
      <c r="K37" s="1" t="str">
        <f>MID(Table1[[#This Row],[تاریخ تولد]],6,2)</f>
        <v>10</v>
      </c>
      <c r="L37" s="1" t="str">
        <f>MID(Table1[[#This Row],[تاریخ تولد]],6,2)</f>
        <v>10</v>
      </c>
      <c r="M37" s="1" t="s">
        <v>461</v>
      </c>
      <c r="N37" s="3" t="s">
        <v>464</v>
      </c>
    </row>
    <row r="38" spans="1:14" ht="29.25" customHeight="1">
      <c r="A38" s="2">
        <v>37</v>
      </c>
      <c r="B38" s="2">
        <v>250037</v>
      </c>
      <c r="C38" s="2" t="s">
        <v>496</v>
      </c>
      <c r="D38" s="2" t="s">
        <v>487</v>
      </c>
      <c r="E38" s="2" t="s">
        <v>503</v>
      </c>
      <c r="F38" s="1" t="s">
        <v>34</v>
      </c>
      <c r="G38" s="1" t="s">
        <v>144</v>
      </c>
      <c r="H38" s="1">
        <v>8708038660</v>
      </c>
      <c r="I38" s="1" t="s">
        <v>265</v>
      </c>
      <c r="J38" s="1" t="s">
        <v>362</v>
      </c>
      <c r="K38" s="1" t="str">
        <f>MID(Table1[[#This Row],[تاریخ تولد]],6,2)</f>
        <v>06</v>
      </c>
      <c r="L38" s="1" t="str">
        <f>MID(Table1[[#This Row],[تاریخ تولد]],6,2)</f>
        <v>06</v>
      </c>
      <c r="M38" s="1" t="s">
        <v>461</v>
      </c>
      <c r="N38" s="3" t="s">
        <v>464</v>
      </c>
    </row>
    <row r="39" spans="1:14" ht="29.25" customHeight="1">
      <c r="A39" s="2">
        <v>38</v>
      </c>
      <c r="B39" s="2">
        <v>250038</v>
      </c>
      <c r="C39" s="2" t="s">
        <v>495</v>
      </c>
      <c r="D39" s="2" t="s">
        <v>487</v>
      </c>
      <c r="E39" s="2" t="s">
        <v>499</v>
      </c>
      <c r="F39" s="1" t="s">
        <v>34</v>
      </c>
      <c r="G39" s="1" t="s">
        <v>145</v>
      </c>
      <c r="H39" s="1">
        <v>8452974527</v>
      </c>
      <c r="I39" s="1" t="s">
        <v>311</v>
      </c>
      <c r="J39" s="1" t="s">
        <v>363</v>
      </c>
      <c r="K39" s="1" t="str">
        <f>MID(Table1[[#This Row],[تاریخ تولد]],6,2)</f>
        <v>05</v>
      </c>
      <c r="L39" s="1" t="str">
        <f>MID(Table1[[#This Row],[تاریخ تولد]],6,2)</f>
        <v>05</v>
      </c>
      <c r="M39" s="1" t="s">
        <v>461</v>
      </c>
      <c r="N39" s="3" t="s">
        <v>464</v>
      </c>
    </row>
    <row r="40" spans="1:14" ht="29.25" customHeight="1">
      <c r="A40" s="2">
        <v>39</v>
      </c>
      <c r="B40" s="2">
        <v>250039</v>
      </c>
      <c r="C40" s="2" t="s">
        <v>496</v>
      </c>
      <c r="D40" s="2" t="s">
        <v>487</v>
      </c>
      <c r="E40" s="2" t="s">
        <v>503</v>
      </c>
      <c r="F40" s="1" t="s">
        <v>35</v>
      </c>
      <c r="G40" s="1" t="s">
        <v>146</v>
      </c>
      <c r="H40" s="1">
        <v>5105665817</v>
      </c>
      <c r="I40" s="1" t="s">
        <v>258</v>
      </c>
      <c r="J40" s="1" t="s">
        <v>364</v>
      </c>
      <c r="K40" s="1" t="str">
        <f>MID(Table1[[#This Row],[تاریخ تولد]],6,2)</f>
        <v>10</v>
      </c>
      <c r="L40" s="1" t="str">
        <f>MID(Table1[[#This Row],[تاریخ تولد]],6,2)</f>
        <v>10</v>
      </c>
      <c r="M40" s="1" t="s">
        <v>463</v>
      </c>
      <c r="N40" s="3" t="s">
        <v>465</v>
      </c>
    </row>
    <row r="41" spans="1:14" ht="29.25" customHeight="1">
      <c r="A41" s="2">
        <v>40</v>
      </c>
      <c r="B41" s="2">
        <v>250040</v>
      </c>
      <c r="C41" s="2" t="s">
        <v>494</v>
      </c>
      <c r="D41" s="2" t="s">
        <v>487</v>
      </c>
      <c r="E41" s="2" t="s">
        <v>494</v>
      </c>
      <c r="F41" s="1" t="s">
        <v>35</v>
      </c>
      <c r="G41" s="1" t="s">
        <v>147</v>
      </c>
      <c r="H41" s="1">
        <v>6621827760</v>
      </c>
      <c r="I41" s="1" t="s">
        <v>282</v>
      </c>
      <c r="J41" s="1" t="s">
        <v>365</v>
      </c>
      <c r="K41" s="1" t="str">
        <f>MID(Table1[[#This Row],[تاریخ تولد]],6,2)</f>
        <v>06</v>
      </c>
      <c r="L41" s="1" t="str">
        <f>MID(Table1[[#This Row],[تاریخ تولد]],6,2)</f>
        <v>06</v>
      </c>
      <c r="M41" s="1" t="s">
        <v>463</v>
      </c>
      <c r="N41" s="3" t="s">
        <v>462</v>
      </c>
    </row>
    <row r="42" spans="1:14" ht="29.25" customHeight="1">
      <c r="A42" s="2">
        <v>41</v>
      </c>
      <c r="B42" s="2">
        <v>250041</v>
      </c>
      <c r="C42" s="2" t="s">
        <v>494</v>
      </c>
      <c r="D42" s="2" t="s">
        <v>487</v>
      </c>
      <c r="E42" s="2" t="s">
        <v>494</v>
      </c>
      <c r="F42" s="1" t="s">
        <v>36</v>
      </c>
      <c r="G42" s="1" t="s">
        <v>148</v>
      </c>
      <c r="H42" s="1">
        <v>5429904433</v>
      </c>
      <c r="I42" s="1" t="s">
        <v>262</v>
      </c>
      <c r="J42" s="1" t="s">
        <v>366</v>
      </c>
      <c r="K42" s="1" t="str">
        <f>MID(Table1[[#This Row],[تاریخ تولد]],6,2)</f>
        <v>12</v>
      </c>
      <c r="L42" s="1" t="str">
        <f>MID(Table1[[#This Row],[تاریخ تولد]],6,2)</f>
        <v>12</v>
      </c>
      <c r="M42" s="1" t="s">
        <v>463</v>
      </c>
      <c r="N42" s="3" t="s">
        <v>464</v>
      </c>
    </row>
    <row r="43" spans="1:14" ht="29.25" customHeight="1">
      <c r="A43" s="2">
        <v>42</v>
      </c>
      <c r="B43" s="2">
        <v>250042</v>
      </c>
      <c r="C43" s="2" t="s">
        <v>494</v>
      </c>
      <c r="D43" s="2" t="s">
        <v>487</v>
      </c>
      <c r="E43" s="2" t="s">
        <v>494</v>
      </c>
      <c r="F43" s="1" t="s">
        <v>37</v>
      </c>
      <c r="G43" s="1" t="s">
        <v>149</v>
      </c>
      <c r="H43" s="1">
        <v>5144982349</v>
      </c>
      <c r="I43" s="1" t="s">
        <v>320</v>
      </c>
      <c r="J43" s="1" t="s">
        <v>367</v>
      </c>
      <c r="K43" s="1" t="str">
        <f>MID(Table1[[#This Row],[تاریخ تولد]],6,2)</f>
        <v>04</v>
      </c>
      <c r="L43" s="1" t="str">
        <f>MID(Table1[[#This Row],[تاریخ تولد]],6,2)</f>
        <v>04</v>
      </c>
      <c r="M43" s="1" t="s">
        <v>461</v>
      </c>
      <c r="N43" s="3" t="s">
        <v>465</v>
      </c>
    </row>
    <row r="44" spans="1:14" ht="29.25" customHeight="1">
      <c r="A44" s="2">
        <v>43</v>
      </c>
      <c r="B44" s="2">
        <v>250043</v>
      </c>
      <c r="C44" s="2" t="s">
        <v>494</v>
      </c>
      <c r="D44" s="2" t="s">
        <v>487</v>
      </c>
      <c r="E44" s="2" t="s">
        <v>494</v>
      </c>
      <c r="F44" s="1" t="s">
        <v>38</v>
      </c>
      <c r="G44" s="1" t="s">
        <v>150</v>
      </c>
      <c r="H44" s="1">
        <v>4845874924</v>
      </c>
      <c r="I44" s="1" t="s">
        <v>312</v>
      </c>
      <c r="J44" s="1" t="s">
        <v>368</v>
      </c>
      <c r="K44" s="1" t="str">
        <f>MID(Table1[[#This Row],[تاریخ تولد]],6,2)</f>
        <v>01</v>
      </c>
      <c r="L44" s="1" t="str">
        <f>MID(Table1[[#This Row],[تاریخ تولد]],6,2)</f>
        <v>01</v>
      </c>
      <c r="M44" s="1" t="s">
        <v>463</v>
      </c>
      <c r="N44" s="3" t="s">
        <v>462</v>
      </c>
    </row>
    <row r="45" spans="1:14" ht="29.25" customHeight="1">
      <c r="A45" s="2">
        <v>44</v>
      </c>
      <c r="B45" s="2">
        <v>250044</v>
      </c>
      <c r="C45" s="2" t="s">
        <v>494</v>
      </c>
      <c r="D45" s="2" t="s">
        <v>487</v>
      </c>
      <c r="E45" s="2" t="s">
        <v>494</v>
      </c>
      <c r="F45" s="1" t="s">
        <v>38</v>
      </c>
      <c r="G45" s="1" t="s">
        <v>151</v>
      </c>
      <c r="H45" s="1">
        <v>2300353744</v>
      </c>
      <c r="I45" s="1" t="s">
        <v>105</v>
      </c>
      <c r="J45" s="1" t="s">
        <v>369</v>
      </c>
      <c r="K45" s="1" t="str">
        <f>MID(Table1[[#This Row],[تاریخ تولد]],6,2)</f>
        <v>05</v>
      </c>
      <c r="L45" s="1" t="str">
        <f>MID(Table1[[#This Row],[تاریخ تولد]],6,2)</f>
        <v>05</v>
      </c>
      <c r="M45" s="1" t="s">
        <v>463</v>
      </c>
      <c r="N45" s="3" t="s">
        <v>462</v>
      </c>
    </row>
    <row r="46" spans="1:14" ht="29.25" customHeight="1">
      <c r="A46" s="2">
        <v>45</v>
      </c>
      <c r="B46" s="2">
        <v>250045</v>
      </c>
      <c r="C46" s="2" t="s">
        <v>494</v>
      </c>
      <c r="D46" s="2" t="s">
        <v>487</v>
      </c>
      <c r="E46" s="2" t="s">
        <v>494</v>
      </c>
      <c r="F46" s="1" t="s">
        <v>38</v>
      </c>
      <c r="G46" s="1" t="s">
        <v>152</v>
      </c>
      <c r="H46" s="1">
        <v>2920622772</v>
      </c>
      <c r="I46" s="1" t="s">
        <v>289</v>
      </c>
      <c r="J46" s="1" t="s">
        <v>370</v>
      </c>
      <c r="K46" s="1" t="str">
        <f>MID(Table1[[#This Row],[تاریخ تولد]],6,2)</f>
        <v>01</v>
      </c>
      <c r="L46" s="1" t="str">
        <f>MID(Table1[[#This Row],[تاریخ تولد]],6,2)</f>
        <v>01</v>
      </c>
      <c r="M46" s="1" t="s">
        <v>463</v>
      </c>
      <c r="N46" s="3" t="s">
        <v>466</v>
      </c>
    </row>
    <row r="47" spans="1:14" ht="29.25" customHeight="1">
      <c r="A47" s="2">
        <v>46</v>
      </c>
      <c r="B47" s="2">
        <v>250046</v>
      </c>
      <c r="C47" s="2" t="s">
        <v>494</v>
      </c>
      <c r="D47" s="2" t="s">
        <v>487</v>
      </c>
      <c r="E47" s="2" t="s">
        <v>494</v>
      </c>
      <c r="F47" s="1" t="s">
        <v>39</v>
      </c>
      <c r="G47" s="1" t="s">
        <v>152</v>
      </c>
      <c r="H47" s="1">
        <v>6045588783</v>
      </c>
      <c r="I47" s="1" t="s">
        <v>313</v>
      </c>
      <c r="J47" s="1" t="s">
        <v>371</v>
      </c>
      <c r="K47" s="1" t="str">
        <f>MID(Table1[[#This Row],[تاریخ تولد]],6,2)</f>
        <v>01</v>
      </c>
      <c r="L47" s="1" t="str">
        <f>MID(Table1[[#This Row],[تاریخ تولد]],6,2)</f>
        <v>01</v>
      </c>
      <c r="M47" s="1" t="s">
        <v>461</v>
      </c>
      <c r="N47" s="3" t="s">
        <v>465</v>
      </c>
    </row>
    <row r="48" spans="1:14" ht="29.25" customHeight="1">
      <c r="A48" s="2">
        <v>47</v>
      </c>
      <c r="B48" s="2">
        <v>250047</v>
      </c>
      <c r="C48" s="2" t="s">
        <v>494</v>
      </c>
      <c r="D48" s="2" t="s">
        <v>487</v>
      </c>
      <c r="E48" s="2" t="s">
        <v>494</v>
      </c>
      <c r="F48" s="1" t="s">
        <v>40</v>
      </c>
      <c r="G48" s="1" t="s">
        <v>152</v>
      </c>
      <c r="H48" s="1">
        <v>1736401408</v>
      </c>
      <c r="I48" s="1" t="s">
        <v>57</v>
      </c>
      <c r="J48" s="1" t="s">
        <v>372</v>
      </c>
      <c r="K48" s="1" t="str">
        <f>MID(Table1[[#This Row],[تاریخ تولد]],6,2)</f>
        <v>03</v>
      </c>
      <c r="L48" s="1" t="str">
        <f>MID(Table1[[#This Row],[تاریخ تولد]],6,2)</f>
        <v>03</v>
      </c>
      <c r="M48" s="1" t="s">
        <v>463</v>
      </c>
      <c r="N48" s="3" t="s">
        <v>462</v>
      </c>
    </row>
    <row r="49" spans="1:14" ht="29.25" customHeight="1">
      <c r="A49" s="2">
        <v>48</v>
      </c>
      <c r="B49" s="2">
        <v>250048</v>
      </c>
      <c r="C49" s="2" t="s">
        <v>494</v>
      </c>
      <c r="D49" s="2" t="s">
        <v>487</v>
      </c>
      <c r="E49" s="2" t="s">
        <v>494</v>
      </c>
      <c r="F49" s="1" t="s">
        <v>41</v>
      </c>
      <c r="G49" s="1" t="s">
        <v>152</v>
      </c>
      <c r="H49" s="1">
        <v>7924181687</v>
      </c>
      <c r="I49" s="1" t="s">
        <v>271</v>
      </c>
      <c r="J49" s="1" t="s">
        <v>373</v>
      </c>
      <c r="K49" s="1" t="str">
        <f>MID(Table1[[#This Row],[تاریخ تولد]],6,2)</f>
        <v>04</v>
      </c>
      <c r="L49" s="1" t="str">
        <f>MID(Table1[[#This Row],[تاریخ تولد]],6,2)</f>
        <v>04</v>
      </c>
      <c r="M49" s="1" t="s">
        <v>463</v>
      </c>
      <c r="N49" s="3" t="s">
        <v>465</v>
      </c>
    </row>
    <row r="50" spans="1:14" ht="29.25" customHeight="1">
      <c r="A50" s="2">
        <v>49</v>
      </c>
      <c r="B50" s="2">
        <v>250049</v>
      </c>
      <c r="C50" s="2" t="s">
        <v>494</v>
      </c>
      <c r="D50" s="2" t="s">
        <v>487</v>
      </c>
      <c r="E50" s="2" t="s">
        <v>494</v>
      </c>
      <c r="F50" s="1" t="s">
        <v>42</v>
      </c>
      <c r="G50" s="1" t="s">
        <v>153</v>
      </c>
      <c r="H50" s="1">
        <v>7976294878</v>
      </c>
      <c r="I50" s="1" t="s">
        <v>212</v>
      </c>
      <c r="J50" s="1" t="s">
        <v>374</v>
      </c>
      <c r="K50" s="1" t="str">
        <f>MID(Table1[[#This Row],[تاریخ تولد]],6,2)</f>
        <v>05</v>
      </c>
      <c r="L50" s="1" t="str">
        <f>MID(Table1[[#This Row],[تاریخ تولد]],6,2)</f>
        <v>05</v>
      </c>
      <c r="M50" s="1" t="s">
        <v>461</v>
      </c>
      <c r="N50" s="3" t="s">
        <v>465</v>
      </c>
    </row>
    <row r="51" spans="1:14" ht="29.25" customHeight="1">
      <c r="A51" s="2">
        <v>50</v>
      </c>
      <c r="B51" s="2">
        <v>250050</v>
      </c>
      <c r="C51" s="2" t="s">
        <v>494</v>
      </c>
      <c r="D51" s="2" t="s">
        <v>487</v>
      </c>
      <c r="E51" s="2" t="s">
        <v>494</v>
      </c>
      <c r="F51" s="1" t="s">
        <v>43</v>
      </c>
      <c r="G51" s="1" t="s">
        <v>154</v>
      </c>
      <c r="H51" s="1">
        <v>4086844524</v>
      </c>
      <c r="I51" s="1" t="s">
        <v>250</v>
      </c>
      <c r="J51" s="1" t="s">
        <v>375</v>
      </c>
      <c r="K51" s="1" t="str">
        <f>MID(Table1[[#This Row],[تاریخ تولد]],6,2)</f>
        <v>06</v>
      </c>
      <c r="L51" s="1" t="str">
        <f>MID(Table1[[#This Row],[تاریخ تولد]],6,2)</f>
        <v>06</v>
      </c>
      <c r="M51" s="1" t="s">
        <v>463</v>
      </c>
      <c r="N51" s="3" t="s">
        <v>462</v>
      </c>
    </row>
    <row r="52" spans="1:14" ht="29.25" customHeight="1">
      <c r="A52" s="2">
        <v>51</v>
      </c>
      <c r="B52" s="2">
        <v>250051</v>
      </c>
      <c r="C52" s="2" t="s">
        <v>489</v>
      </c>
      <c r="D52" s="2" t="s">
        <v>487</v>
      </c>
      <c r="E52" s="2" t="s">
        <v>503</v>
      </c>
      <c r="F52" s="1" t="s">
        <v>44</v>
      </c>
      <c r="G52" s="1" t="s">
        <v>155</v>
      </c>
      <c r="H52" s="1">
        <v>6908104040</v>
      </c>
      <c r="I52" s="1" t="s">
        <v>302</v>
      </c>
      <c r="J52" s="1" t="s">
        <v>376</v>
      </c>
      <c r="K52" s="1" t="str">
        <f>MID(Table1[[#This Row],[تاریخ تولد]],6,2)</f>
        <v>06</v>
      </c>
      <c r="L52" s="1" t="str">
        <f>MID(Table1[[#This Row],[تاریخ تولد]],6,2)</f>
        <v>06</v>
      </c>
      <c r="M52" s="1" t="s">
        <v>463</v>
      </c>
      <c r="N52" s="3" t="s">
        <v>462</v>
      </c>
    </row>
    <row r="53" spans="1:14" ht="29.25" customHeight="1">
      <c r="A53" s="2">
        <v>52</v>
      </c>
      <c r="B53" s="2">
        <v>250052</v>
      </c>
      <c r="C53" s="2" t="s">
        <v>489</v>
      </c>
      <c r="D53" s="2" t="s">
        <v>487</v>
      </c>
      <c r="E53" s="2" t="s">
        <v>503</v>
      </c>
      <c r="F53" s="1" t="s">
        <v>44</v>
      </c>
      <c r="G53" s="1" t="s">
        <v>156</v>
      </c>
      <c r="H53" s="1">
        <v>5138316282</v>
      </c>
      <c r="I53" s="1" t="s">
        <v>272</v>
      </c>
      <c r="J53" s="1" t="s">
        <v>377</v>
      </c>
      <c r="K53" s="1" t="str">
        <f>MID(Table1[[#This Row],[تاریخ تولد]],6,2)</f>
        <v>03</v>
      </c>
      <c r="L53" s="1" t="str">
        <f>MID(Table1[[#This Row],[تاریخ تولد]],6,2)</f>
        <v>03</v>
      </c>
      <c r="M53" s="1" t="s">
        <v>463</v>
      </c>
      <c r="N53" s="3" t="s">
        <v>464</v>
      </c>
    </row>
    <row r="54" spans="1:14" ht="29.25" customHeight="1">
      <c r="A54" s="2">
        <v>53</v>
      </c>
      <c r="B54" s="2">
        <v>250053</v>
      </c>
      <c r="C54" s="2" t="s">
        <v>489</v>
      </c>
      <c r="D54" s="2" t="s">
        <v>487</v>
      </c>
      <c r="E54" s="2" t="s">
        <v>503</v>
      </c>
      <c r="F54" s="1" t="s">
        <v>45</v>
      </c>
      <c r="G54" s="1" t="s">
        <v>157</v>
      </c>
      <c r="H54" s="1">
        <v>3227792324</v>
      </c>
      <c r="I54" s="1" t="s">
        <v>101</v>
      </c>
      <c r="J54" s="1" t="s">
        <v>378</v>
      </c>
      <c r="K54" s="1" t="str">
        <f>MID(Table1[[#This Row],[تاریخ تولد]],6,2)</f>
        <v>08</v>
      </c>
      <c r="L54" s="1" t="str">
        <f>MID(Table1[[#This Row],[تاریخ تولد]],6,2)</f>
        <v>08</v>
      </c>
      <c r="M54" s="1" t="s">
        <v>461</v>
      </c>
      <c r="N54" s="3" t="s">
        <v>464</v>
      </c>
    </row>
    <row r="55" spans="1:14" ht="29.25" customHeight="1">
      <c r="A55" s="2">
        <v>54</v>
      </c>
      <c r="B55" s="2">
        <v>250054</v>
      </c>
      <c r="C55" s="2" t="s">
        <v>494</v>
      </c>
      <c r="D55" s="2" t="s">
        <v>487</v>
      </c>
      <c r="E55" s="2" t="s">
        <v>494</v>
      </c>
      <c r="F55" s="1" t="s">
        <v>46</v>
      </c>
      <c r="G55" s="1" t="s">
        <v>158</v>
      </c>
      <c r="H55" s="1">
        <v>6234702910</v>
      </c>
      <c r="I55" s="1" t="s">
        <v>261</v>
      </c>
      <c r="J55" s="1" t="s">
        <v>379</v>
      </c>
      <c r="K55" s="1" t="str">
        <f>MID(Table1[[#This Row],[تاریخ تولد]],6,2)</f>
        <v>10</v>
      </c>
      <c r="L55" s="1" t="str">
        <f>MID(Table1[[#This Row],[تاریخ تولد]],6,2)</f>
        <v>10</v>
      </c>
      <c r="M55" s="1" t="s">
        <v>463</v>
      </c>
      <c r="N55" s="3" t="s">
        <v>464</v>
      </c>
    </row>
    <row r="56" spans="1:14" ht="29.25" customHeight="1">
      <c r="A56" s="2">
        <v>55</v>
      </c>
      <c r="B56" s="2">
        <v>250055</v>
      </c>
      <c r="C56" s="2" t="s">
        <v>494</v>
      </c>
      <c r="D56" s="2" t="s">
        <v>487</v>
      </c>
      <c r="E56" s="2" t="s">
        <v>494</v>
      </c>
      <c r="F56" s="1" t="s">
        <v>46</v>
      </c>
      <c r="G56" s="1" t="s">
        <v>159</v>
      </c>
      <c r="H56" s="1">
        <v>4509510606</v>
      </c>
      <c r="I56" s="1" t="s">
        <v>308</v>
      </c>
      <c r="J56" s="1" t="s">
        <v>380</v>
      </c>
      <c r="K56" s="1" t="str">
        <f>MID(Table1[[#This Row],[تاریخ تولد]],6,2)</f>
        <v>09</v>
      </c>
      <c r="L56" s="1" t="str">
        <f>MID(Table1[[#This Row],[تاریخ تولد]],6,2)</f>
        <v>09</v>
      </c>
      <c r="M56" s="1" t="s">
        <v>463</v>
      </c>
      <c r="N56" s="3" t="s">
        <v>464</v>
      </c>
    </row>
    <row r="57" spans="1:14" ht="29.25" customHeight="1">
      <c r="A57" s="2">
        <v>56</v>
      </c>
      <c r="B57" s="2">
        <v>250056</v>
      </c>
      <c r="C57" s="2" t="s">
        <v>494</v>
      </c>
      <c r="D57" s="2" t="s">
        <v>487</v>
      </c>
      <c r="E57" s="2" t="s">
        <v>494</v>
      </c>
      <c r="F57" s="1" t="s">
        <v>47</v>
      </c>
      <c r="G57" s="1" t="s">
        <v>160</v>
      </c>
      <c r="H57" s="1">
        <v>4530449341</v>
      </c>
      <c r="I57" s="1" t="s">
        <v>253</v>
      </c>
      <c r="J57" s="1" t="s">
        <v>381</v>
      </c>
      <c r="K57" s="1" t="str">
        <f>MID(Table1[[#This Row],[تاریخ تولد]],6,2)</f>
        <v>12</v>
      </c>
      <c r="L57" s="1" t="str">
        <f>MID(Table1[[#This Row],[تاریخ تولد]],6,2)</f>
        <v>12</v>
      </c>
      <c r="M57" s="1" t="s">
        <v>463</v>
      </c>
      <c r="N57" s="3" t="s">
        <v>464</v>
      </c>
    </row>
    <row r="58" spans="1:14" ht="29.25" customHeight="1">
      <c r="A58" s="2">
        <v>57</v>
      </c>
      <c r="B58" s="2">
        <v>250057</v>
      </c>
      <c r="C58" s="2" t="s">
        <v>494</v>
      </c>
      <c r="D58" s="2" t="s">
        <v>487</v>
      </c>
      <c r="E58" s="2" t="s">
        <v>494</v>
      </c>
      <c r="F58" s="1" t="s">
        <v>48</v>
      </c>
      <c r="G58" s="1" t="s">
        <v>161</v>
      </c>
      <c r="H58" s="1">
        <v>4908073247</v>
      </c>
      <c r="I58" s="1" t="s">
        <v>95</v>
      </c>
      <c r="J58" s="1" t="s">
        <v>382</v>
      </c>
      <c r="K58" s="1" t="str">
        <f>MID(Table1[[#This Row],[تاریخ تولد]],6,2)</f>
        <v>01</v>
      </c>
      <c r="L58" s="1" t="str">
        <f>MID(Table1[[#This Row],[تاریخ تولد]],6,2)</f>
        <v>01</v>
      </c>
      <c r="M58" s="1" t="s">
        <v>463</v>
      </c>
      <c r="N58" s="3" t="s">
        <v>464</v>
      </c>
    </row>
    <row r="59" spans="1:14" ht="29.25" customHeight="1">
      <c r="A59" s="2">
        <v>58</v>
      </c>
      <c r="B59" s="2">
        <v>250058</v>
      </c>
      <c r="C59" s="2" t="s">
        <v>494</v>
      </c>
      <c r="D59" s="2" t="s">
        <v>487</v>
      </c>
      <c r="E59" s="2" t="s">
        <v>494</v>
      </c>
      <c r="F59" s="1" t="s">
        <v>48</v>
      </c>
      <c r="G59" s="1" t="s">
        <v>162</v>
      </c>
      <c r="H59" s="1">
        <v>2194834810</v>
      </c>
      <c r="I59" s="1" t="s">
        <v>95</v>
      </c>
      <c r="J59" s="1" t="s">
        <v>383</v>
      </c>
      <c r="K59" s="1" t="str">
        <f>MID(Table1[[#This Row],[تاریخ تولد]],6,2)</f>
        <v>11</v>
      </c>
      <c r="L59" s="1" t="str">
        <f>MID(Table1[[#This Row],[تاریخ تولد]],6,2)</f>
        <v>11</v>
      </c>
      <c r="M59" s="1" t="s">
        <v>463</v>
      </c>
      <c r="N59" s="3" t="s">
        <v>464</v>
      </c>
    </row>
    <row r="60" spans="1:14" ht="29.25" customHeight="1">
      <c r="A60" s="2">
        <v>59</v>
      </c>
      <c r="B60" s="2">
        <v>250059</v>
      </c>
      <c r="C60" s="2" t="s">
        <v>494</v>
      </c>
      <c r="D60" s="2" t="s">
        <v>487</v>
      </c>
      <c r="E60" s="2" t="s">
        <v>494</v>
      </c>
      <c r="F60" s="1" t="s">
        <v>49</v>
      </c>
      <c r="G60" s="1" t="s">
        <v>163</v>
      </c>
      <c r="H60" s="1">
        <v>6291163810</v>
      </c>
      <c r="I60" s="1" t="s">
        <v>107</v>
      </c>
      <c r="J60" s="1" t="s">
        <v>384</v>
      </c>
      <c r="K60" s="1" t="str">
        <f>MID(Table1[[#This Row],[تاریخ تولد]],6,2)</f>
        <v>01</v>
      </c>
      <c r="L60" s="1" t="str">
        <f>MID(Table1[[#This Row],[تاریخ تولد]],6,2)</f>
        <v>01</v>
      </c>
      <c r="M60" s="1" t="s">
        <v>463</v>
      </c>
      <c r="N60" s="3" t="s">
        <v>464</v>
      </c>
    </row>
    <row r="61" spans="1:14" ht="29.25" customHeight="1">
      <c r="A61" s="2">
        <v>60</v>
      </c>
      <c r="B61" s="2">
        <v>250060</v>
      </c>
      <c r="C61" s="2" t="s">
        <v>494</v>
      </c>
      <c r="D61" s="2" t="s">
        <v>487</v>
      </c>
      <c r="E61" s="2" t="s">
        <v>494</v>
      </c>
      <c r="F61" s="1" t="s">
        <v>49</v>
      </c>
      <c r="G61" s="1" t="s">
        <v>164</v>
      </c>
      <c r="H61" s="1">
        <v>1006943608</v>
      </c>
      <c r="I61" s="1" t="s">
        <v>106</v>
      </c>
      <c r="J61" s="1" t="s">
        <v>385</v>
      </c>
      <c r="K61" s="1" t="str">
        <f>MID(Table1[[#This Row],[تاریخ تولد]],6,2)</f>
        <v>01</v>
      </c>
      <c r="L61" s="1" t="str">
        <f>MID(Table1[[#This Row],[تاریخ تولد]],6,2)</f>
        <v>01</v>
      </c>
      <c r="M61" s="1" t="s">
        <v>463</v>
      </c>
      <c r="N61" s="3" t="s">
        <v>465</v>
      </c>
    </row>
    <row r="62" spans="1:14" ht="29.25" customHeight="1">
      <c r="A62" s="2">
        <v>61</v>
      </c>
      <c r="B62" s="2">
        <v>250061</v>
      </c>
      <c r="C62" s="2" t="s">
        <v>494</v>
      </c>
      <c r="D62" s="2" t="s">
        <v>487</v>
      </c>
      <c r="E62" s="2" t="s">
        <v>494</v>
      </c>
      <c r="F62" s="1" t="s">
        <v>49</v>
      </c>
      <c r="G62" s="1" t="s">
        <v>165</v>
      </c>
      <c r="H62" s="1">
        <v>6148640960</v>
      </c>
      <c r="I62" s="1" t="s">
        <v>250</v>
      </c>
      <c r="J62" s="1" t="s">
        <v>386</v>
      </c>
      <c r="K62" s="1" t="str">
        <f>MID(Table1[[#This Row],[تاریخ تولد]],6,2)</f>
        <v>11</v>
      </c>
      <c r="L62" s="1" t="str">
        <f>MID(Table1[[#This Row],[تاریخ تولد]],6,2)</f>
        <v>11</v>
      </c>
      <c r="M62" s="1" t="s">
        <v>463</v>
      </c>
      <c r="N62" s="3" t="s">
        <v>462</v>
      </c>
    </row>
    <row r="63" spans="1:14" ht="29.25" customHeight="1">
      <c r="A63" s="2">
        <v>62</v>
      </c>
      <c r="B63" s="2">
        <v>250062</v>
      </c>
      <c r="C63" s="2" t="s">
        <v>494</v>
      </c>
      <c r="D63" s="2" t="s">
        <v>487</v>
      </c>
      <c r="E63" s="2" t="s">
        <v>494</v>
      </c>
      <c r="F63" s="1" t="s">
        <v>50</v>
      </c>
      <c r="G63" s="1" t="s">
        <v>166</v>
      </c>
      <c r="H63" s="1">
        <v>3740800921</v>
      </c>
      <c r="I63" s="1" t="s">
        <v>53</v>
      </c>
      <c r="J63" s="1" t="s">
        <v>387</v>
      </c>
      <c r="K63" s="1" t="str">
        <f>MID(Table1[[#This Row],[تاریخ تولد]],6,2)</f>
        <v>02</v>
      </c>
      <c r="L63" s="1" t="str">
        <f>MID(Table1[[#This Row],[تاریخ تولد]],6,2)</f>
        <v>02</v>
      </c>
      <c r="M63" s="1" t="s">
        <v>463</v>
      </c>
      <c r="N63" s="3" t="s">
        <v>462</v>
      </c>
    </row>
    <row r="64" spans="1:14" ht="29.25" customHeight="1">
      <c r="A64" s="2">
        <v>63</v>
      </c>
      <c r="B64" s="2">
        <v>250063</v>
      </c>
      <c r="C64" s="2" t="s">
        <v>494</v>
      </c>
      <c r="D64" s="2" t="s">
        <v>487</v>
      </c>
      <c r="E64" s="2" t="s">
        <v>494</v>
      </c>
      <c r="F64" s="1" t="s">
        <v>51</v>
      </c>
      <c r="G64" s="1" t="s">
        <v>167</v>
      </c>
      <c r="H64" s="1">
        <v>4848485021</v>
      </c>
      <c r="I64" s="1" t="s">
        <v>321</v>
      </c>
      <c r="J64" s="1" t="s">
        <v>388</v>
      </c>
      <c r="K64" s="1" t="str">
        <f>MID(Table1[[#This Row],[تاریخ تولد]],6,2)</f>
        <v>03</v>
      </c>
      <c r="L64" s="1" t="str">
        <f>MID(Table1[[#This Row],[تاریخ تولد]],6,2)</f>
        <v>03</v>
      </c>
      <c r="M64" s="1" t="s">
        <v>461</v>
      </c>
      <c r="N64" s="3" t="s">
        <v>462</v>
      </c>
    </row>
    <row r="65" spans="1:14" ht="29.25" customHeight="1">
      <c r="A65" s="2">
        <v>64</v>
      </c>
      <c r="B65" s="2">
        <v>250064</v>
      </c>
      <c r="C65" s="2" t="s">
        <v>494</v>
      </c>
      <c r="D65" s="2" t="s">
        <v>487</v>
      </c>
      <c r="E65" s="2" t="s">
        <v>494</v>
      </c>
      <c r="F65" s="1" t="s">
        <v>51</v>
      </c>
      <c r="G65" s="1" t="s">
        <v>168</v>
      </c>
      <c r="H65" s="1">
        <v>4461702040</v>
      </c>
      <c r="I65" s="1" t="s">
        <v>10</v>
      </c>
      <c r="J65" s="1" t="s">
        <v>361</v>
      </c>
      <c r="K65" s="1" t="str">
        <f>MID(Table1[[#This Row],[تاریخ تولد]],6,2)</f>
        <v>10</v>
      </c>
      <c r="L65" s="1" t="str">
        <f>MID(Table1[[#This Row],[تاریخ تولد]],6,2)</f>
        <v>10</v>
      </c>
      <c r="M65" s="1" t="s">
        <v>461</v>
      </c>
      <c r="N65" s="3" t="s">
        <v>464</v>
      </c>
    </row>
    <row r="66" spans="1:14" ht="29.25" customHeight="1">
      <c r="A66" s="2">
        <v>65</v>
      </c>
      <c r="B66" s="2">
        <v>250065</v>
      </c>
      <c r="C66" s="2" t="s">
        <v>494</v>
      </c>
      <c r="D66" s="2" t="s">
        <v>487</v>
      </c>
      <c r="E66" s="2" t="s">
        <v>494</v>
      </c>
      <c r="F66" s="1" t="s">
        <v>52</v>
      </c>
      <c r="G66" s="1" t="s">
        <v>169</v>
      </c>
      <c r="H66" s="1">
        <v>3812865725</v>
      </c>
      <c r="I66" s="1" t="s">
        <v>106</v>
      </c>
      <c r="J66" s="1" t="s">
        <v>361</v>
      </c>
      <c r="K66" s="1" t="str">
        <f>MID(Table1[[#This Row],[تاریخ تولد]],6,2)</f>
        <v>10</v>
      </c>
      <c r="L66" s="1" t="str">
        <f>MID(Table1[[#This Row],[تاریخ تولد]],6,2)</f>
        <v>10</v>
      </c>
      <c r="M66" s="1" t="s">
        <v>461</v>
      </c>
      <c r="N66" s="3" t="s">
        <v>464</v>
      </c>
    </row>
    <row r="67" spans="1:14" ht="29.25" customHeight="1">
      <c r="A67" s="2">
        <v>66</v>
      </c>
      <c r="B67" s="2">
        <v>250066</v>
      </c>
      <c r="C67" s="2" t="s">
        <v>494</v>
      </c>
      <c r="D67" s="2" t="s">
        <v>487</v>
      </c>
      <c r="E67" s="2" t="s">
        <v>494</v>
      </c>
      <c r="F67" s="1" t="s">
        <v>52</v>
      </c>
      <c r="G67" s="1" t="s">
        <v>170</v>
      </c>
      <c r="H67" s="1">
        <v>3686609258</v>
      </c>
      <c r="I67" s="1" t="s">
        <v>275</v>
      </c>
      <c r="J67" s="1" t="s">
        <v>389</v>
      </c>
      <c r="K67" s="1" t="str">
        <f>MID(Table1[[#This Row],[تاریخ تولد]],6,2)</f>
        <v>09</v>
      </c>
      <c r="L67" s="1" t="str">
        <f>MID(Table1[[#This Row],[تاریخ تولد]],6,2)</f>
        <v>09</v>
      </c>
      <c r="M67" s="1" t="s">
        <v>461</v>
      </c>
      <c r="N67" s="3" t="s">
        <v>462</v>
      </c>
    </row>
    <row r="68" spans="1:14" ht="29.25" customHeight="1">
      <c r="A68" s="2">
        <v>67</v>
      </c>
      <c r="B68" s="2">
        <v>250067</v>
      </c>
      <c r="C68" s="2" t="s">
        <v>494</v>
      </c>
      <c r="D68" s="2" t="s">
        <v>487</v>
      </c>
      <c r="E68" s="2" t="s">
        <v>494</v>
      </c>
      <c r="F68" s="1" t="s">
        <v>53</v>
      </c>
      <c r="G68" s="1" t="s">
        <v>171</v>
      </c>
      <c r="H68" s="1">
        <v>6649363744</v>
      </c>
      <c r="I68" s="1" t="s">
        <v>259</v>
      </c>
      <c r="J68" s="1" t="s">
        <v>390</v>
      </c>
      <c r="K68" s="1" t="str">
        <f>MID(Table1[[#This Row],[تاریخ تولد]],6,2)</f>
        <v>10</v>
      </c>
      <c r="L68" s="1" t="str">
        <f>MID(Table1[[#This Row],[تاریخ تولد]],6,2)</f>
        <v>10</v>
      </c>
      <c r="M68" s="1" t="s">
        <v>463</v>
      </c>
      <c r="N68" s="3" t="s">
        <v>466</v>
      </c>
    </row>
    <row r="69" spans="1:14" ht="29.25" customHeight="1">
      <c r="A69" s="2">
        <v>68</v>
      </c>
      <c r="B69" s="2">
        <v>250068</v>
      </c>
      <c r="C69" s="2" t="s">
        <v>494</v>
      </c>
      <c r="D69" s="2" t="s">
        <v>487</v>
      </c>
      <c r="E69" s="2" t="s">
        <v>494</v>
      </c>
      <c r="F69" s="1" t="s">
        <v>54</v>
      </c>
      <c r="G69" s="1" t="s">
        <v>172</v>
      </c>
      <c r="H69" s="1">
        <v>2542371975</v>
      </c>
      <c r="I69" s="1" t="s">
        <v>254</v>
      </c>
      <c r="J69" s="1" t="s">
        <v>391</v>
      </c>
      <c r="K69" s="1" t="str">
        <f>MID(Table1[[#This Row],[تاریخ تولد]],6,2)</f>
        <v>10</v>
      </c>
      <c r="L69" s="1" t="str">
        <f>MID(Table1[[#This Row],[تاریخ تولد]],6,2)</f>
        <v>10</v>
      </c>
      <c r="M69" s="1" t="s">
        <v>461</v>
      </c>
      <c r="N69" s="3" t="s">
        <v>464</v>
      </c>
    </row>
    <row r="70" spans="1:14" ht="29.25" customHeight="1">
      <c r="A70" s="2">
        <v>69</v>
      </c>
      <c r="B70" s="2">
        <v>250069</v>
      </c>
      <c r="C70" s="2" t="s">
        <v>494</v>
      </c>
      <c r="D70" s="2" t="s">
        <v>487</v>
      </c>
      <c r="E70" s="2" t="s">
        <v>494</v>
      </c>
      <c r="F70" s="1" t="s">
        <v>55</v>
      </c>
      <c r="G70" s="1" t="s">
        <v>173</v>
      </c>
      <c r="H70" s="1">
        <v>7220507006</v>
      </c>
      <c r="I70" s="1" t="s">
        <v>105</v>
      </c>
      <c r="J70" s="1" t="s">
        <v>392</v>
      </c>
      <c r="K70" s="1" t="str">
        <f>MID(Table1[[#This Row],[تاریخ تولد]],6,2)</f>
        <v>10</v>
      </c>
      <c r="L70" s="1" t="str">
        <f>MID(Table1[[#This Row],[تاریخ تولد]],6,2)</f>
        <v>10</v>
      </c>
      <c r="M70" s="1" t="s">
        <v>463</v>
      </c>
      <c r="N70" s="3" t="s">
        <v>464</v>
      </c>
    </row>
    <row r="71" spans="1:14" ht="29.25" customHeight="1">
      <c r="A71" s="2">
        <v>70</v>
      </c>
      <c r="B71" s="2">
        <v>250070</v>
      </c>
      <c r="C71" s="2" t="s">
        <v>494</v>
      </c>
      <c r="D71" s="2" t="s">
        <v>487</v>
      </c>
      <c r="E71" s="2" t="s">
        <v>494</v>
      </c>
      <c r="F71" s="1" t="s">
        <v>56</v>
      </c>
      <c r="G71" s="1" t="s">
        <v>174</v>
      </c>
      <c r="H71" s="1">
        <v>5419041790</v>
      </c>
      <c r="I71" s="1" t="s">
        <v>103</v>
      </c>
      <c r="J71" s="1" t="s">
        <v>393</v>
      </c>
      <c r="K71" s="1" t="str">
        <f>MID(Table1[[#This Row],[تاریخ تولد]],6,2)</f>
        <v>11</v>
      </c>
      <c r="L71" s="1" t="str">
        <f>MID(Table1[[#This Row],[تاریخ تولد]],6,2)</f>
        <v>11</v>
      </c>
      <c r="M71" s="1" t="s">
        <v>463</v>
      </c>
      <c r="N71" s="3" t="s">
        <v>464</v>
      </c>
    </row>
    <row r="72" spans="1:14" ht="29.25" customHeight="1">
      <c r="A72" s="2">
        <v>71</v>
      </c>
      <c r="B72" s="2">
        <v>250071</v>
      </c>
      <c r="C72" s="2" t="s">
        <v>494</v>
      </c>
      <c r="D72" s="2" t="s">
        <v>487</v>
      </c>
      <c r="E72" s="2" t="s">
        <v>494</v>
      </c>
      <c r="F72" s="1" t="s">
        <v>57</v>
      </c>
      <c r="G72" s="1" t="s">
        <v>175</v>
      </c>
      <c r="H72" s="1">
        <v>1340517288</v>
      </c>
      <c r="I72" s="1" t="s">
        <v>263</v>
      </c>
      <c r="J72" s="1" t="s">
        <v>394</v>
      </c>
      <c r="K72" s="1" t="str">
        <f>MID(Table1[[#This Row],[تاریخ تولد]],6,2)</f>
        <v>01</v>
      </c>
      <c r="L72" s="1" t="str">
        <f>MID(Table1[[#This Row],[تاریخ تولد]],6,2)</f>
        <v>01</v>
      </c>
      <c r="M72" s="1" t="s">
        <v>463</v>
      </c>
      <c r="N72" s="3" t="s">
        <v>464</v>
      </c>
    </row>
    <row r="73" spans="1:14" ht="29.25" customHeight="1">
      <c r="A73" s="2">
        <v>72</v>
      </c>
      <c r="B73" s="2">
        <v>250072</v>
      </c>
      <c r="C73" s="2" t="s">
        <v>494</v>
      </c>
      <c r="D73" s="2" t="s">
        <v>487</v>
      </c>
      <c r="E73" s="2" t="s">
        <v>494</v>
      </c>
      <c r="F73" s="1" t="s">
        <v>57</v>
      </c>
      <c r="G73" s="1" t="s">
        <v>176</v>
      </c>
      <c r="H73" s="1">
        <v>6340545330</v>
      </c>
      <c r="I73" s="1" t="s">
        <v>19</v>
      </c>
      <c r="J73" s="1" t="s">
        <v>395</v>
      </c>
      <c r="K73" s="1" t="str">
        <f>MID(Table1[[#This Row],[تاریخ تولد]],6,2)</f>
        <v>11</v>
      </c>
      <c r="L73" s="1" t="str">
        <f>MID(Table1[[#This Row],[تاریخ تولد]],6,2)</f>
        <v>11</v>
      </c>
      <c r="M73" s="1" t="s">
        <v>463</v>
      </c>
      <c r="N73" s="3" t="s">
        <v>462</v>
      </c>
    </row>
    <row r="74" spans="1:14" ht="29.25" customHeight="1">
      <c r="A74" s="2">
        <v>73</v>
      </c>
      <c r="B74" s="2">
        <v>250073</v>
      </c>
      <c r="C74" s="2" t="s">
        <v>494</v>
      </c>
      <c r="D74" s="2" t="s">
        <v>487</v>
      </c>
      <c r="E74" s="2" t="s">
        <v>494</v>
      </c>
      <c r="F74" s="1" t="s">
        <v>57</v>
      </c>
      <c r="G74" s="1" t="s">
        <v>177</v>
      </c>
      <c r="H74" s="1">
        <v>2597134502</v>
      </c>
      <c r="I74" s="1" t="s">
        <v>310</v>
      </c>
      <c r="J74" s="1" t="s">
        <v>396</v>
      </c>
      <c r="K74" s="1" t="str">
        <f>MID(Table1[[#This Row],[تاریخ تولد]],6,2)</f>
        <v>06</v>
      </c>
      <c r="L74" s="1" t="str">
        <f>MID(Table1[[#This Row],[تاریخ تولد]],6,2)</f>
        <v>06</v>
      </c>
      <c r="M74" s="1" t="s">
        <v>463</v>
      </c>
      <c r="N74" s="3" t="s">
        <v>464</v>
      </c>
    </row>
    <row r="75" spans="1:14" ht="29.25" customHeight="1">
      <c r="A75" s="2">
        <v>74</v>
      </c>
      <c r="B75" s="2">
        <v>250074</v>
      </c>
      <c r="C75" s="2" t="s">
        <v>494</v>
      </c>
      <c r="D75" s="2" t="s">
        <v>487</v>
      </c>
      <c r="E75" s="2" t="s">
        <v>494</v>
      </c>
      <c r="F75" s="1" t="s">
        <v>58</v>
      </c>
      <c r="G75" s="1" t="s">
        <v>178</v>
      </c>
      <c r="H75" s="1">
        <v>8917605969</v>
      </c>
      <c r="I75" s="1" t="s">
        <v>48</v>
      </c>
      <c r="J75" s="1" t="s">
        <v>397</v>
      </c>
      <c r="K75" s="1" t="str">
        <f>MID(Table1[[#This Row],[تاریخ تولد]],6,2)</f>
        <v>08</v>
      </c>
      <c r="L75" s="1" t="str">
        <f>MID(Table1[[#This Row],[تاریخ تولد]],6,2)</f>
        <v>08</v>
      </c>
      <c r="M75" s="1" t="s">
        <v>463</v>
      </c>
      <c r="N75" s="3" t="s">
        <v>462</v>
      </c>
    </row>
    <row r="76" spans="1:14" ht="29.25" customHeight="1">
      <c r="A76" s="2">
        <v>75</v>
      </c>
      <c r="B76" s="2">
        <v>250075</v>
      </c>
      <c r="C76" s="2" t="s">
        <v>494</v>
      </c>
      <c r="D76" s="2" t="s">
        <v>487</v>
      </c>
      <c r="E76" s="2" t="s">
        <v>494</v>
      </c>
      <c r="F76" s="1" t="s">
        <v>59</v>
      </c>
      <c r="G76" s="1" t="s">
        <v>179</v>
      </c>
      <c r="H76" s="1">
        <v>6147829593</v>
      </c>
      <c r="I76" s="1" t="s">
        <v>257</v>
      </c>
      <c r="J76" s="1" t="s">
        <v>398</v>
      </c>
      <c r="K76" s="1" t="str">
        <f>MID(Table1[[#This Row],[تاریخ تولد]],6,2)</f>
        <v>04</v>
      </c>
      <c r="L76" s="1" t="str">
        <f>MID(Table1[[#This Row],[تاریخ تولد]],6,2)</f>
        <v>04</v>
      </c>
      <c r="M76" s="1" t="s">
        <v>461</v>
      </c>
      <c r="N76" s="3" t="s">
        <v>465</v>
      </c>
    </row>
    <row r="77" spans="1:14" ht="29.25" customHeight="1">
      <c r="A77" s="2">
        <v>76</v>
      </c>
      <c r="B77" s="2">
        <v>250076</v>
      </c>
      <c r="C77" s="2" t="s">
        <v>494</v>
      </c>
      <c r="D77" s="2" t="s">
        <v>487</v>
      </c>
      <c r="E77" s="2" t="s">
        <v>494</v>
      </c>
      <c r="F77" s="1" t="s">
        <v>60</v>
      </c>
      <c r="G77" s="1" t="s">
        <v>180</v>
      </c>
      <c r="H77" s="1">
        <v>2257575105</v>
      </c>
      <c r="I77" s="1" t="s">
        <v>47</v>
      </c>
      <c r="J77" s="1" t="s">
        <v>399</v>
      </c>
      <c r="K77" s="1" t="str">
        <f>MID(Table1[[#This Row],[تاریخ تولد]],6,2)</f>
        <v>05</v>
      </c>
      <c r="L77" s="1" t="str">
        <f>MID(Table1[[#This Row],[تاریخ تولد]],6,2)</f>
        <v>05</v>
      </c>
      <c r="M77" s="1" t="s">
        <v>461</v>
      </c>
      <c r="N77" s="3" t="s">
        <v>466</v>
      </c>
    </row>
    <row r="78" spans="1:14" ht="29.25" customHeight="1">
      <c r="A78" s="2">
        <v>77</v>
      </c>
      <c r="B78" s="2">
        <v>250077</v>
      </c>
      <c r="C78" s="2" t="s">
        <v>494</v>
      </c>
      <c r="D78" s="2" t="s">
        <v>487</v>
      </c>
      <c r="E78" s="2" t="s">
        <v>494</v>
      </c>
      <c r="F78" s="1" t="s">
        <v>60</v>
      </c>
      <c r="G78" s="1" t="s">
        <v>181</v>
      </c>
      <c r="H78" s="1">
        <v>7862009339</v>
      </c>
      <c r="I78" s="1" t="s">
        <v>294</v>
      </c>
      <c r="J78" s="1" t="s">
        <v>400</v>
      </c>
      <c r="K78" s="1" t="str">
        <f>MID(Table1[[#This Row],[تاریخ تولد]],6,2)</f>
        <v>06</v>
      </c>
      <c r="L78" s="1" t="str">
        <f>MID(Table1[[#This Row],[تاریخ تولد]],6,2)</f>
        <v>06</v>
      </c>
      <c r="M78" s="1" t="s">
        <v>461</v>
      </c>
      <c r="N78" s="3" t="s">
        <v>462</v>
      </c>
    </row>
    <row r="79" spans="1:14" ht="29.25" customHeight="1">
      <c r="A79" s="2">
        <v>78</v>
      </c>
      <c r="B79" s="2">
        <v>250078</v>
      </c>
      <c r="C79" s="2" t="s">
        <v>494</v>
      </c>
      <c r="D79" s="2" t="s">
        <v>487</v>
      </c>
      <c r="E79" s="2" t="s">
        <v>494</v>
      </c>
      <c r="F79" s="1" t="s">
        <v>60</v>
      </c>
      <c r="G79" s="1" t="s">
        <v>182</v>
      </c>
      <c r="H79" s="1">
        <v>3738620808</v>
      </c>
      <c r="I79" s="1" t="s">
        <v>319</v>
      </c>
      <c r="J79" s="1" t="s">
        <v>401</v>
      </c>
      <c r="K79" s="1" t="str">
        <f>MID(Table1[[#This Row],[تاریخ تولد]],6,2)</f>
        <v>06</v>
      </c>
      <c r="L79" s="1" t="str">
        <f>MID(Table1[[#This Row],[تاریخ تولد]],6,2)</f>
        <v>06</v>
      </c>
      <c r="M79" s="1" t="s">
        <v>461</v>
      </c>
      <c r="N79" s="3" t="s">
        <v>462</v>
      </c>
    </row>
    <row r="80" spans="1:14" ht="29.25" customHeight="1">
      <c r="A80" s="2">
        <v>79</v>
      </c>
      <c r="B80" s="2">
        <v>250079</v>
      </c>
      <c r="C80" s="2" t="s">
        <v>494</v>
      </c>
      <c r="D80" s="2" t="s">
        <v>487</v>
      </c>
      <c r="E80" s="2" t="s">
        <v>494</v>
      </c>
      <c r="F80" s="1" t="s">
        <v>60</v>
      </c>
      <c r="G80" s="1" t="s">
        <v>183</v>
      </c>
      <c r="H80" s="1">
        <v>4889683881</v>
      </c>
      <c r="I80" s="1" t="s">
        <v>48</v>
      </c>
      <c r="J80" s="1" t="s">
        <v>402</v>
      </c>
      <c r="K80" s="1" t="str">
        <f>MID(Table1[[#This Row],[تاریخ تولد]],6,2)</f>
        <v>07</v>
      </c>
      <c r="L80" s="1" t="str">
        <f>MID(Table1[[#This Row],[تاریخ تولد]],6,2)</f>
        <v>07</v>
      </c>
      <c r="M80" s="1" t="s">
        <v>461</v>
      </c>
      <c r="N80" s="3" t="s">
        <v>465</v>
      </c>
    </row>
    <row r="81" spans="1:14" ht="29.25" customHeight="1">
      <c r="A81" s="2">
        <v>80</v>
      </c>
      <c r="B81" s="2">
        <v>250080</v>
      </c>
      <c r="C81" s="2" t="s">
        <v>494</v>
      </c>
      <c r="D81" s="2" t="s">
        <v>487</v>
      </c>
      <c r="E81" s="2" t="s">
        <v>494</v>
      </c>
      <c r="F81" s="1" t="s">
        <v>60</v>
      </c>
      <c r="G81" s="1" t="s">
        <v>184</v>
      </c>
      <c r="H81" s="1">
        <v>4810573382</v>
      </c>
      <c r="I81" s="1" t="s">
        <v>295</v>
      </c>
      <c r="J81" s="1" t="s">
        <v>403</v>
      </c>
      <c r="K81" s="1" t="str">
        <f>MID(Table1[[#This Row],[تاریخ تولد]],6,2)</f>
        <v>11</v>
      </c>
      <c r="L81" s="1" t="str">
        <f>MID(Table1[[#This Row],[تاریخ تولد]],6,2)</f>
        <v>11</v>
      </c>
      <c r="M81" s="1" t="s">
        <v>461</v>
      </c>
      <c r="N81" s="3" t="s">
        <v>464</v>
      </c>
    </row>
    <row r="82" spans="1:14" ht="29.25" customHeight="1">
      <c r="A82" s="2">
        <v>81</v>
      </c>
      <c r="B82" s="2">
        <v>250081</v>
      </c>
      <c r="C82" s="2" t="s">
        <v>494</v>
      </c>
      <c r="D82" s="2" t="s">
        <v>487</v>
      </c>
      <c r="E82" s="2" t="s">
        <v>494</v>
      </c>
      <c r="F82" s="1" t="s">
        <v>60</v>
      </c>
      <c r="G82" s="1" t="s">
        <v>185</v>
      </c>
      <c r="H82" s="1">
        <v>8360079787</v>
      </c>
      <c r="I82" s="1" t="s">
        <v>293</v>
      </c>
      <c r="J82" s="1" t="s">
        <v>404</v>
      </c>
      <c r="K82" s="1" t="str">
        <f>MID(Table1[[#This Row],[تاریخ تولد]],6,2)</f>
        <v>11</v>
      </c>
      <c r="L82" s="1" t="str">
        <f>MID(Table1[[#This Row],[تاریخ تولد]],6,2)</f>
        <v>11</v>
      </c>
      <c r="M82" s="1" t="s">
        <v>461</v>
      </c>
      <c r="N82" s="3" t="s">
        <v>464</v>
      </c>
    </row>
    <row r="83" spans="1:14" ht="29.25" customHeight="1">
      <c r="A83" s="2">
        <v>82</v>
      </c>
      <c r="B83" s="2">
        <v>250082</v>
      </c>
      <c r="C83" s="2" t="s">
        <v>494</v>
      </c>
      <c r="D83" s="2" t="s">
        <v>487</v>
      </c>
      <c r="E83" s="2" t="s">
        <v>494</v>
      </c>
      <c r="F83" s="1" t="s">
        <v>60</v>
      </c>
      <c r="G83" s="1" t="s">
        <v>185</v>
      </c>
      <c r="H83" s="1">
        <v>6454950198</v>
      </c>
      <c r="I83" s="1" t="s">
        <v>97</v>
      </c>
      <c r="J83" s="1" t="s">
        <v>405</v>
      </c>
      <c r="K83" s="1" t="str">
        <f>MID(Table1[[#This Row],[تاریخ تولد]],6,2)</f>
        <v>10</v>
      </c>
      <c r="L83" s="1" t="str">
        <f>MID(Table1[[#This Row],[تاریخ تولد]],6,2)</f>
        <v>10</v>
      </c>
      <c r="M83" s="1" t="s">
        <v>461</v>
      </c>
      <c r="N83" s="3" t="s">
        <v>465</v>
      </c>
    </row>
    <row r="84" spans="1:14" ht="29.25" customHeight="1">
      <c r="A84" s="2">
        <v>83</v>
      </c>
      <c r="B84" s="2">
        <v>250083</v>
      </c>
      <c r="C84" s="2" t="s">
        <v>494</v>
      </c>
      <c r="D84" s="2" t="s">
        <v>487</v>
      </c>
      <c r="E84" s="2" t="s">
        <v>494</v>
      </c>
      <c r="F84" s="1" t="s">
        <v>61</v>
      </c>
      <c r="G84" s="1" t="s">
        <v>186</v>
      </c>
      <c r="H84" s="1">
        <v>4784674297</v>
      </c>
      <c r="I84" s="1" t="s">
        <v>281</v>
      </c>
      <c r="J84" s="1" t="s">
        <v>406</v>
      </c>
      <c r="K84" s="1" t="str">
        <f>MID(Table1[[#This Row],[تاریخ تولد]],6,2)</f>
        <v>12</v>
      </c>
      <c r="L84" s="1" t="str">
        <f>MID(Table1[[#This Row],[تاریخ تولد]],6,2)</f>
        <v>12</v>
      </c>
      <c r="M84" s="1" t="s">
        <v>461</v>
      </c>
      <c r="N84" s="3" t="s">
        <v>462</v>
      </c>
    </row>
    <row r="85" spans="1:14" ht="29.25" customHeight="1">
      <c r="A85" s="2">
        <v>84</v>
      </c>
      <c r="B85" s="2">
        <v>250084</v>
      </c>
      <c r="C85" s="2" t="s">
        <v>494</v>
      </c>
      <c r="D85" s="2" t="s">
        <v>487</v>
      </c>
      <c r="E85" s="2" t="s">
        <v>494</v>
      </c>
      <c r="F85" s="1" t="s">
        <v>61</v>
      </c>
      <c r="G85" s="1" t="s">
        <v>187</v>
      </c>
      <c r="H85" s="1">
        <v>5395128490</v>
      </c>
      <c r="I85" s="1" t="s">
        <v>95</v>
      </c>
      <c r="J85" s="1" t="s">
        <v>407</v>
      </c>
      <c r="K85" s="1" t="str">
        <f>MID(Table1[[#This Row],[تاریخ تولد]],6,2)</f>
        <v>11</v>
      </c>
      <c r="L85" s="1" t="str">
        <f>MID(Table1[[#This Row],[تاریخ تولد]],6,2)</f>
        <v>11</v>
      </c>
      <c r="M85" s="1" t="s">
        <v>461</v>
      </c>
      <c r="N85" s="3" t="s">
        <v>462</v>
      </c>
    </row>
    <row r="86" spans="1:14" ht="29.25" customHeight="1">
      <c r="A86" s="2">
        <v>85</v>
      </c>
      <c r="B86" s="2">
        <v>250085</v>
      </c>
      <c r="C86" s="2" t="s">
        <v>494</v>
      </c>
      <c r="D86" s="2" t="s">
        <v>487</v>
      </c>
      <c r="E86" s="2" t="s">
        <v>494</v>
      </c>
      <c r="F86" s="1" t="s">
        <v>62</v>
      </c>
      <c r="G86" s="1" t="s">
        <v>187</v>
      </c>
      <c r="H86" s="1">
        <v>3462876458</v>
      </c>
      <c r="I86" s="1" t="s">
        <v>103</v>
      </c>
      <c r="J86" s="1" t="s">
        <v>408</v>
      </c>
      <c r="K86" s="1" t="str">
        <f>MID(Table1[[#This Row],[تاریخ تولد]],6,2)</f>
        <v>11</v>
      </c>
      <c r="L86" s="1" t="str">
        <f>MID(Table1[[#This Row],[تاریخ تولد]],6,2)</f>
        <v>11</v>
      </c>
      <c r="M86" s="1" t="s">
        <v>461</v>
      </c>
      <c r="N86" s="3" t="s">
        <v>464</v>
      </c>
    </row>
    <row r="87" spans="1:14" ht="29.25" customHeight="1">
      <c r="A87" s="2">
        <v>86</v>
      </c>
      <c r="B87" s="2">
        <v>250086</v>
      </c>
      <c r="C87" s="2" t="s">
        <v>494</v>
      </c>
      <c r="D87" s="2" t="s">
        <v>487</v>
      </c>
      <c r="E87" s="2" t="s">
        <v>494</v>
      </c>
      <c r="F87" s="1" t="s">
        <v>63</v>
      </c>
      <c r="G87" s="1" t="s">
        <v>188</v>
      </c>
      <c r="H87" s="1">
        <v>7237658442</v>
      </c>
      <c r="I87" s="1" t="s">
        <v>272</v>
      </c>
      <c r="J87" s="1" t="s">
        <v>409</v>
      </c>
      <c r="K87" s="1" t="str">
        <f>MID(Table1[[#This Row],[تاریخ تولد]],6,2)</f>
        <v>12</v>
      </c>
      <c r="L87" s="1" t="str">
        <f>MID(Table1[[#This Row],[تاریخ تولد]],6,2)</f>
        <v>12</v>
      </c>
      <c r="M87" s="1" t="s">
        <v>461</v>
      </c>
      <c r="N87" s="3" t="s">
        <v>465</v>
      </c>
    </row>
    <row r="88" spans="1:14" ht="29.25" customHeight="1">
      <c r="A88" s="2">
        <v>87</v>
      </c>
      <c r="B88" s="2">
        <v>250087</v>
      </c>
      <c r="C88" s="2" t="s">
        <v>494</v>
      </c>
      <c r="D88" s="2" t="s">
        <v>487</v>
      </c>
      <c r="E88" s="2" t="s">
        <v>494</v>
      </c>
      <c r="F88" s="1" t="s">
        <v>63</v>
      </c>
      <c r="G88" s="1" t="s">
        <v>189</v>
      </c>
      <c r="H88" s="1">
        <v>2517897404</v>
      </c>
      <c r="I88" s="1" t="s">
        <v>97</v>
      </c>
      <c r="J88" s="1" t="s">
        <v>410</v>
      </c>
      <c r="K88" s="1" t="str">
        <f>MID(Table1[[#This Row],[تاریخ تولد]],6,2)</f>
        <v>12</v>
      </c>
      <c r="L88" s="1" t="str">
        <f>MID(Table1[[#This Row],[تاریخ تولد]],6,2)</f>
        <v>12</v>
      </c>
      <c r="M88" s="1" t="s">
        <v>461</v>
      </c>
      <c r="N88" s="3" t="s">
        <v>465</v>
      </c>
    </row>
    <row r="89" spans="1:14" ht="29.25" customHeight="1">
      <c r="A89" s="2">
        <v>88</v>
      </c>
      <c r="B89" s="2">
        <v>250088</v>
      </c>
      <c r="C89" s="2" t="s">
        <v>494</v>
      </c>
      <c r="D89" s="2" t="s">
        <v>487</v>
      </c>
      <c r="E89" s="2" t="s">
        <v>494</v>
      </c>
      <c r="F89" s="1" t="s">
        <v>64</v>
      </c>
      <c r="G89" s="1" t="s">
        <v>190</v>
      </c>
      <c r="H89" s="1">
        <v>1167741980</v>
      </c>
      <c r="I89" s="1" t="s">
        <v>267</v>
      </c>
      <c r="J89" s="1" t="s">
        <v>411</v>
      </c>
      <c r="K89" s="1" t="str">
        <f>MID(Table1[[#This Row],[تاریخ تولد]],6,2)</f>
        <v>01</v>
      </c>
      <c r="L89" s="1" t="str">
        <f>MID(Table1[[#This Row],[تاریخ تولد]],6,2)</f>
        <v>01</v>
      </c>
      <c r="M89" s="1" t="s">
        <v>461</v>
      </c>
      <c r="N89" s="3" t="s">
        <v>464</v>
      </c>
    </row>
    <row r="90" spans="1:14" ht="29.25" customHeight="1">
      <c r="A90" s="2">
        <v>89</v>
      </c>
      <c r="B90" s="2">
        <v>250089</v>
      </c>
      <c r="C90" s="2" t="s">
        <v>494</v>
      </c>
      <c r="D90" s="2" t="s">
        <v>487</v>
      </c>
      <c r="E90" s="2" t="s">
        <v>494</v>
      </c>
      <c r="F90" s="1" t="s">
        <v>65</v>
      </c>
      <c r="G90" s="1" t="s">
        <v>191</v>
      </c>
      <c r="H90" s="1">
        <v>7757104410</v>
      </c>
      <c r="I90" s="1" t="s">
        <v>290</v>
      </c>
      <c r="J90" s="1" t="s">
        <v>412</v>
      </c>
      <c r="K90" s="1" t="str">
        <f>MID(Table1[[#This Row],[تاریخ تولد]],6,2)</f>
        <v>03</v>
      </c>
      <c r="L90" s="1" t="str">
        <f>MID(Table1[[#This Row],[تاریخ تولد]],6,2)</f>
        <v>03</v>
      </c>
      <c r="M90" s="1" t="s">
        <v>461</v>
      </c>
      <c r="N90" s="3" t="s">
        <v>464</v>
      </c>
    </row>
    <row r="91" spans="1:14" ht="29.25" customHeight="1">
      <c r="A91" s="2">
        <v>90</v>
      </c>
      <c r="B91" s="2">
        <v>250090</v>
      </c>
      <c r="C91" s="2" t="s">
        <v>494</v>
      </c>
      <c r="D91" s="2" t="s">
        <v>487</v>
      </c>
      <c r="E91" s="2" t="s">
        <v>494</v>
      </c>
      <c r="F91" s="1" t="s">
        <v>65</v>
      </c>
      <c r="G91" s="1" t="s">
        <v>192</v>
      </c>
      <c r="H91" s="1">
        <v>1517934399</v>
      </c>
      <c r="I91" s="1" t="s">
        <v>48</v>
      </c>
      <c r="J91" s="1" t="s">
        <v>413</v>
      </c>
      <c r="K91" s="1" t="str">
        <f>MID(Table1[[#This Row],[تاریخ تولد]],6,2)</f>
        <v>05</v>
      </c>
      <c r="L91" s="1" t="str">
        <f>MID(Table1[[#This Row],[تاریخ تولد]],6,2)</f>
        <v>05</v>
      </c>
      <c r="M91" s="1" t="s">
        <v>461</v>
      </c>
      <c r="N91" s="3" t="s">
        <v>465</v>
      </c>
    </row>
    <row r="92" spans="1:14" ht="29.25" customHeight="1">
      <c r="A92" s="2">
        <v>91</v>
      </c>
      <c r="B92" s="2">
        <v>250091</v>
      </c>
      <c r="C92" s="2" t="s">
        <v>494</v>
      </c>
      <c r="D92" s="2" t="s">
        <v>487</v>
      </c>
      <c r="E92" s="2" t="s">
        <v>494</v>
      </c>
      <c r="F92" s="1" t="s">
        <v>65</v>
      </c>
      <c r="G92" s="1" t="s">
        <v>193</v>
      </c>
      <c r="H92" s="1">
        <v>3795588215</v>
      </c>
      <c r="I92" s="1" t="s">
        <v>299</v>
      </c>
      <c r="J92" s="1" t="s">
        <v>474</v>
      </c>
      <c r="K92" s="1" t="str">
        <f>MID(Table1[[#This Row],[تاریخ تولد]],6,2)</f>
        <v>05</v>
      </c>
      <c r="L92" s="1" t="str">
        <f>MID(Table1[[#This Row],[تاریخ تولد]],6,2)</f>
        <v>05</v>
      </c>
      <c r="M92" s="1" t="s">
        <v>461</v>
      </c>
      <c r="N92" s="3" t="s">
        <v>464</v>
      </c>
    </row>
    <row r="93" spans="1:14" ht="29.25" customHeight="1">
      <c r="A93" s="2">
        <v>92</v>
      </c>
      <c r="B93" s="2">
        <v>250092</v>
      </c>
      <c r="C93" s="2" t="s">
        <v>494</v>
      </c>
      <c r="D93" s="2" t="s">
        <v>487</v>
      </c>
      <c r="E93" s="2" t="s">
        <v>494</v>
      </c>
      <c r="F93" s="1" t="s">
        <v>65</v>
      </c>
      <c r="G93" s="1" t="s">
        <v>194</v>
      </c>
      <c r="H93" s="1">
        <v>3109274378</v>
      </c>
      <c r="I93" s="1" t="s">
        <v>103</v>
      </c>
      <c r="J93" s="1" t="s">
        <v>414</v>
      </c>
      <c r="K93" s="1" t="str">
        <f>MID(Table1[[#This Row],[تاریخ تولد]],6,2)</f>
        <v>07</v>
      </c>
      <c r="L93" s="1" t="str">
        <f>MID(Table1[[#This Row],[تاریخ تولد]],6,2)</f>
        <v>07</v>
      </c>
      <c r="M93" s="1" t="s">
        <v>461</v>
      </c>
      <c r="N93" s="3" t="s">
        <v>462</v>
      </c>
    </row>
    <row r="94" spans="1:14" ht="29.25" customHeight="1">
      <c r="A94" s="2">
        <v>93</v>
      </c>
      <c r="B94" s="2">
        <v>250093</v>
      </c>
      <c r="C94" s="2" t="s">
        <v>494</v>
      </c>
      <c r="D94" s="2" t="s">
        <v>487</v>
      </c>
      <c r="E94" s="2" t="s">
        <v>494</v>
      </c>
      <c r="F94" s="1" t="s">
        <v>66</v>
      </c>
      <c r="G94" s="1" t="s">
        <v>195</v>
      </c>
      <c r="H94" s="1">
        <v>8294580564</v>
      </c>
      <c r="I94" s="1" t="s">
        <v>107</v>
      </c>
      <c r="J94" s="1" t="s">
        <v>475</v>
      </c>
      <c r="K94" s="1" t="str">
        <f>MID(Table1[[#This Row],[تاریخ تولد]],6,2)</f>
        <v>11</v>
      </c>
      <c r="L94" s="1" t="str">
        <f>MID(Table1[[#This Row],[تاریخ تولد]],6,2)</f>
        <v>11</v>
      </c>
      <c r="M94" s="1" t="s">
        <v>461</v>
      </c>
      <c r="N94" s="3" t="s">
        <v>464</v>
      </c>
    </row>
    <row r="95" spans="1:14" ht="29.25" customHeight="1">
      <c r="A95" s="2">
        <v>94</v>
      </c>
      <c r="B95" s="2">
        <v>250094</v>
      </c>
      <c r="C95" s="2" t="s">
        <v>494</v>
      </c>
      <c r="D95" s="2" t="s">
        <v>487</v>
      </c>
      <c r="E95" s="2" t="s">
        <v>494</v>
      </c>
      <c r="F95" s="1" t="s">
        <v>67</v>
      </c>
      <c r="G95" s="1" t="s">
        <v>196</v>
      </c>
      <c r="H95" s="1">
        <v>4322980415</v>
      </c>
      <c r="I95" s="1" t="s">
        <v>264</v>
      </c>
      <c r="J95" s="1" t="s">
        <v>415</v>
      </c>
      <c r="K95" s="1" t="str">
        <f>MID(Table1[[#This Row],[تاریخ تولد]],6,2)</f>
        <v>04</v>
      </c>
      <c r="L95" s="1" t="str">
        <f>MID(Table1[[#This Row],[تاریخ تولد]],6,2)</f>
        <v>04</v>
      </c>
      <c r="M95" s="1" t="s">
        <v>461</v>
      </c>
      <c r="N95" s="3" t="s">
        <v>465</v>
      </c>
    </row>
    <row r="96" spans="1:14" ht="29.25" customHeight="1">
      <c r="A96" s="2">
        <v>95</v>
      </c>
      <c r="B96" s="2">
        <v>250095</v>
      </c>
      <c r="C96" s="2" t="s">
        <v>494</v>
      </c>
      <c r="D96" s="2" t="s">
        <v>487</v>
      </c>
      <c r="E96" s="2" t="s">
        <v>494</v>
      </c>
      <c r="F96" s="1" t="s">
        <v>68</v>
      </c>
      <c r="G96" s="1" t="s">
        <v>197</v>
      </c>
      <c r="H96" s="1">
        <v>5451534264</v>
      </c>
      <c r="I96" s="1" t="s">
        <v>268</v>
      </c>
      <c r="J96" s="1" t="s">
        <v>416</v>
      </c>
      <c r="K96" s="1" t="str">
        <f>MID(Table1[[#This Row],[تاریخ تولد]],6,2)</f>
        <v>02</v>
      </c>
      <c r="L96" s="1" t="str">
        <f>MID(Table1[[#This Row],[تاریخ تولد]],6,2)</f>
        <v>02</v>
      </c>
      <c r="M96" s="1" t="s">
        <v>461</v>
      </c>
      <c r="N96" s="3" t="s">
        <v>462</v>
      </c>
    </row>
    <row r="97" spans="1:14" ht="29.25" customHeight="1">
      <c r="A97" s="2">
        <v>96</v>
      </c>
      <c r="B97" s="2">
        <v>250096</v>
      </c>
      <c r="C97" s="2" t="s">
        <v>494</v>
      </c>
      <c r="D97" s="2" t="s">
        <v>487</v>
      </c>
      <c r="E97" s="2" t="s">
        <v>494</v>
      </c>
      <c r="F97" s="1" t="s">
        <v>69</v>
      </c>
      <c r="G97" s="1" t="s">
        <v>198</v>
      </c>
      <c r="H97" s="1">
        <v>8792568894</v>
      </c>
      <c r="I97" s="1" t="s">
        <v>314</v>
      </c>
      <c r="J97" s="1" t="s">
        <v>476</v>
      </c>
      <c r="K97" s="1" t="str">
        <f>MID(Table1[[#This Row],[تاریخ تولد]],6,2)</f>
        <v>09</v>
      </c>
      <c r="L97" s="1" t="str">
        <f>MID(Table1[[#This Row],[تاریخ تولد]],6,2)</f>
        <v>09</v>
      </c>
      <c r="M97" s="1" t="s">
        <v>463</v>
      </c>
      <c r="N97" s="3" t="s">
        <v>466</v>
      </c>
    </row>
    <row r="98" spans="1:14" ht="29.25" customHeight="1">
      <c r="A98" s="2">
        <v>97</v>
      </c>
      <c r="B98" s="2">
        <v>250097</v>
      </c>
      <c r="C98" s="2" t="s">
        <v>495</v>
      </c>
      <c r="D98" s="2" t="s">
        <v>487</v>
      </c>
      <c r="E98" s="2" t="s">
        <v>499</v>
      </c>
      <c r="F98" s="1" t="s">
        <v>69</v>
      </c>
      <c r="G98" s="1" t="s">
        <v>199</v>
      </c>
      <c r="H98" s="1">
        <v>1716467538</v>
      </c>
      <c r="I98" s="1" t="s">
        <v>107</v>
      </c>
      <c r="J98" s="1" t="s">
        <v>477</v>
      </c>
      <c r="K98" s="1" t="str">
        <f>MID(Table1[[#This Row],[تاریخ تولد]],6,2)</f>
        <v>04</v>
      </c>
      <c r="L98" s="1" t="str">
        <f>MID(Table1[[#This Row],[تاریخ تولد]],6,2)</f>
        <v>04</v>
      </c>
      <c r="M98" s="1" t="s">
        <v>463</v>
      </c>
      <c r="N98" s="3" t="s">
        <v>462</v>
      </c>
    </row>
    <row r="99" spans="1:14" ht="29.25" customHeight="1">
      <c r="A99" s="2">
        <v>98</v>
      </c>
      <c r="B99" s="2">
        <v>250098</v>
      </c>
      <c r="C99" s="2" t="s">
        <v>495</v>
      </c>
      <c r="D99" s="2" t="s">
        <v>486</v>
      </c>
      <c r="E99" s="2" t="s">
        <v>499</v>
      </c>
      <c r="F99" s="1" t="s">
        <v>69</v>
      </c>
      <c r="G99" s="1" t="s">
        <v>200</v>
      </c>
      <c r="H99" s="1">
        <v>4988483711</v>
      </c>
      <c r="I99" s="1" t="s">
        <v>106</v>
      </c>
      <c r="J99" s="1" t="s">
        <v>417</v>
      </c>
      <c r="K99" s="1" t="str">
        <f>MID(Table1[[#This Row],[تاریخ تولد]],6,2)</f>
        <v>11</v>
      </c>
      <c r="L99" s="1" t="str">
        <f>MID(Table1[[#This Row],[تاریخ تولد]],6,2)</f>
        <v>11</v>
      </c>
      <c r="M99" s="1" t="s">
        <v>463</v>
      </c>
      <c r="N99" s="3" t="s">
        <v>464</v>
      </c>
    </row>
    <row r="100" spans="1:14" ht="29.25" customHeight="1">
      <c r="A100" s="2">
        <v>99</v>
      </c>
      <c r="B100" s="2">
        <v>250099</v>
      </c>
      <c r="C100" s="2" t="s">
        <v>495</v>
      </c>
      <c r="D100" s="2" t="s">
        <v>487</v>
      </c>
      <c r="E100" s="2" t="s">
        <v>499</v>
      </c>
      <c r="F100" s="1" t="s">
        <v>69</v>
      </c>
      <c r="G100" s="1" t="s">
        <v>201</v>
      </c>
      <c r="H100" s="1">
        <v>3020003212</v>
      </c>
      <c r="I100" s="1" t="s">
        <v>300</v>
      </c>
      <c r="J100" s="1" t="s">
        <v>418</v>
      </c>
      <c r="K100" s="1" t="str">
        <f>MID(Table1[[#This Row],[تاریخ تولد]],6,2)</f>
        <v>11</v>
      </c>
      <c r="L100" s="1" t="str">
        <f>MID(Table1[[#This Row],[تاریخ تولد]],6,2)</f>
        <v>11</v>
      </c>
      <c r="M100" s="1" t="s">
        <v>463</v>
      </c>
      <c r="N100" s="3" t="s">
        <v>465</v>
      </c>
    </row>
    <row r="101" spans="1:14" ht="29.25" customHeight="1">
      <c r="A101" s="2">
        <v>100</v>
      </c>
      <c r="B101" s="2">
        <v>250100</v>
      </c>
      <c r="C101" s="2" t="s">
        <v>495</v>
      </c>
      <c r="D101" s="2" t="s">
        <v>487</v>
      </c>
      <c r="E101" s="2" t="s">
        <v>499</v>
      </c>
      <c r="F101" s="1" t="s">
        <v>70</v>
      </c>
      <c r="G101" s="1" t="s">
        <v>202</v>
      </c>
      <c r="H101" s="1">
        <v>1980921210</v>
      </c>
      <c r="I101" s="1" t="s">
        <v>288</v>
      </c>
      <c r="J101" s="1" t="s">
        <v>419</v>
      </c>
      <c r="K101" s="1" t="str">
        <f>MID(Table1[[#This Row],[تاریخ تولد]],6,2)</f>
        <v>06</v>
      </c>
      <c r="L101" s="1" t="str">
        <f>MID(Table1[[#This Row],[تاریخ تولد]],6,2)</f>
        <v>06</v>
      </c>
      <c r="M101" s="1" t="s">
        <v>461</v>
      </c>
      <c r="N101" s="3" t="s">
        <v>464</v>
      </c>
    </row>
    <row r="102" spans="1:14" ht="29.25" customHeight="1">
      <c r="A102" s="2">
        <v>101</v>
      </c>
      <c r="B102" s="2">
        <v>250101</v>
      </c>
      <c r="C102" s="2" t="s">
        <v>496</v>
      </c>
      <c r="D102" s="2" t="s">
        <v>487</v>
      </c>
      <c r="E102" s="2" t="s">
        <v>503</v>
      </c>
      <c r="F102" s="1" t="s">
        <v>71</v>
      </c>
      <c r="G102" s="1" t="s">
        <v>203</v>
      </c>
      <c r="H102" s="1">
        <v>4695648292</v>
      </c>
      <c r="I102" s="1" t="s">
        <v>72</v>
      </c>
      <c r="J102" s="1" t="s">
        <v>420</v>
      </c>
      <c r="K102" s="1" t="str">
        <f>MID(Table1[[#This Row],[تاریخ تولد]],6,2)</f>
        <v>06</v>
      </c>
      <c r="L102" s="1" t="str">
        <f>MID(Table1[[#This Row],[تاریخ تولد]],6,2)</f>
        <v>06</v>
      </c>
      <c r="M102" s="1" t="s">
        <v>463</v>
      </c>
      <c r="N102" s="3" t="s">
        <v>462</v>
      </c>
    </row>
    <row r="103" spans="1:14" ht="29.25" customHeight="1">
      <c r="A103" s="2">
        <v>102</v>
      </c>
      <c r="B103" s="2">
        <v>250102</v>
      </c>
      <c r="C103" s="2" t="s">
        <v>496</v>
      </c>
      <c r="D103" s="2" t="s">
        <v>486</v>
      </c>
      <c r="E103" s="2" t="s">
        <v>503</v>
      </c>
      <c r="F103" s="1" t="s">
        <v>72</v>
      </c>
      <c r="G103" s="1" t="s">
        <v>204</v>
      </c>
      <c r="H103" s="1">
        <v>3985828964</v>
      </c>
      <c r="I103" s="1" t="s">
        <v>323</v>
      </c>
      <c r="J103" s="1" t="s">
        <v>421</v>
      </c>
      <c r="K103" s="1" t="str">
        <f>MID(Table1[[#This Row],[تاریخ تولد]],6,2)</f>
        <v>05</v>
      </c>
      <c r="L103" s="1" t="str">
        <f>MID(Table1[[#This Row],[تاریخ تولد]],6,2)</f>
        <v>05</v>
      </c>
      <c r="M103" s="1" t="s">
        <v>463</v>
      </c>
      <c r="N103" s="3" t="s">
        <v>462</v>
      </c>
    </row>
    <row r="104" spans="1:14" ht="29.25" customHeight="1">
      <c r="A104" s="2">
        <v>103</v>
      </c>
      <c r="B104" s="2">
        <v>250103</v>
      </c>
      <c r="C104" s="2" t="s">
        <v>496</v>
      </c>
      <c r="D104" s="2" t="s">
        <v>486</v>
      </c>
      <c r="E104" s="2" t="s">
        <v>503</v>
      </c>
      <c r="F104" s="1" t="s">
        <v>72</v>
      </c>
      <c r="G104" s="1" t="s">
        <v>205</v>
      </c>
      <c r="H104" s="1">
        <v>2729828041</v>
      </c>
      <c r="I104" s="1" t="s">
        <v>283</v>
      </c>
      <c r="J104" s="1" t="s">
        <v>422</v>
      </c>
      <c r="K104" s="1" t="str">
        <f>MID(Table1[[#This Row],[تاریخ تولد]],6,2)</f>
        <v>04</v>
      </c>
      <c r="L104" s="1" t="str">
        <f>MID(Table1[[#This Row],[تاریخ تولد]],6,2)</f>
        <v>04</v>
      </c>
      <c r="M104" s="1" t="s">
        <v>463</v>
      </c>
      <c r="N104" s="3" t="s">
        <v>464</v>
      </c>
    </row>
    <row r="105" spans="1:14" ht="29.25" customHeight="1">
      <c r="A105" s="2">
        <v>104</v>
      </c>
      <c r="B105" s="2">
        <v>250104</v>
      </c>
      <c r="C105" s="2" t="s">
        <v>496</v>
      </c>
      <c r="D105" s="2" t="s">
        <v>487</v>
      </c>
      <c r="E105" s="2" t="s">
        <v>503</v>
      </c>
      <c r="F105" s="1" t="s">
        <v>72</v>
      </c>
      <c r="G105" s="1" t="s">
        <v>206</v>
      </c>
      <c r="H105" s="1">
        <v>2974626913</v>
      </c>
      <c r="I105" s="1" t="s">
        <v>107</v>
      </c>
      <c r="J105" s="1" t="s">
        <v>423</v>
      </c>
      <c r="K105" s="1" t="str">
        <f>MID(Table1[[#This Row],[تاریخ تولد]],6,2)</f>
        <v>01</v>
      </c>
      <c r="L105" s="1" t="str">
        <f>MID(Table1[[#This Row],[تاریخ تولد]],6,2)</f>
        <v>01</v>
      </c>
      <c r="M105" s="1" t="s">
        <v>463</v>
      </c>
      <c r="N105" s="3" t="s">
        <v>462</v>
      </c>
    </row>
    <row r="106" spans="1:14" ht="29.25" customHeight="1">
      <c r="A106" s="2">
        <v>105</v>
      </c>
      <c r="B106" s="2">
        <v>250105</v>
      </c>
      <c r="C106" s="2" t="s">
        <v>496</v>
      </c>
      <c r="D106" s="2" t="s">
        <v>487</v>
      </c>
      <c r="E106" s="2" t="s">
        <v>503</v>
      </c>
      <c r="F106" s="1" t="s">
        <v>73</v>
      </c>
      <c r="G106" s="1" t="s">
        <v>207</v>
      </c>
      <c r="H106" s="1">
        <v>1687713701</v>
      </c>
      <c r="I106" s="1" t="s">
        <v>325</v>
      </c>
      <c r="J106" s="1" t="s">
        <v>424</v>
      </c>
      <c r="K106" s="1" t="str">
        <f>MID(Table1[[#This Row],[تاریخ تولد]],6,2)</f>
        <v>05</v>
      </c>
      <c r="L106" s="1" t="str">
        <f>MID(Table1[[#This Row],[تاریخ تولد]],6,2)</f>
        <v>05</v>
      </c>
      <c r="M106" s="1" t="s">
        <v>463</v>
      </c>
      <c r="N106" s="3" t="s">
        <v>465</v>
      </c>
    </row>
    <row r="107" spans="1:14" ht="29.25" customHeight="1">
      <c r="A107" s="2">
        <v>106</v>
      </c>
      <c r="B107" s="2">
        <v>250106</v>
      </c>
      <c r="C107" s="2" t="s">
        <v>496</v>
      </c>
      <c r="D107" s="2" t="s">
        <v>487</v>
      </c>
      <c r="E107" s="2" t="s">
        <v>503</v>
      </c>
      <c r="F107" s="1" t="s">
        <v>74</v>
      </c>
      <c r="G107" s="1" t="s">
        <v>208</v>
      </c>
      <c r="H107" s="1">
        <v>7025380723</v>
      </c>
      <c r="I107" s="1" t="s">
        <v>104</v>
      </c>
      <c r="J107" s="1" t="s">
        <v>425</v>
      </c>
      <c r="K107" s="1" t="str">
        <f>MID(Table1[[#This Row],[تاریخ تولد]],6,2)</f>
        <v>07</v>
      </c>
      <c r="L107" s="1" t="str">
        <f>MID(Table1[[#This Row],[تاریخ تولد]],6,2)</f>
        <v>07</v>
      </c>
      <c r="M107" s="1" t="s">
        <v>461</v>
      </c>
      <c r="N107" s="3" t="s">
        <v>465</v>
      </c>
    </row>
    <row r="108" spans="1:14" ht="29.25" customHeight="1">
      <c r="A108" s="2">
        <v>107</v>
      </c>
      <c r="B108" s="2">
        <v>250107</v>
      </c>
      <c r="C108" s="2" t="s">
        <v>497</v>
      </c>
      <c r="D108" s="2" t="s">
        <v>487</v>
      </c>
      <c r="E108" s="2" t="s">
        <v>503</v>
      </c>
      <c r="F108" s="1" t="s">
        <v>75</v>
      </c>
      <c r="G108" s="1" t="s">
        <v>209</v>
      </c>
      <c r="H108" s="1">
        <v>5345416983</v>
      </c>
      <c r="I108" s="1" t="s">
        <v>11</v>
      </c>
      <c r="J108" s="1" t="s">
        <v>426</v>
      </c>
      <c r="K108" s="1" t="str">
        <f>MID(Table1[[#This Row],[تاریخ تولد]],6,2)</f>
        <v>11</v>
      </c>
      <c r="L108" s="1" t="str">
        <f>MID(Table1[[#This Row],[تاریخ تولد]],6,2)</f>
        <v>11</v>
      </c>
      <c r="M108" s="1" t="s">
        <v>463</v>
      </c>
      <c r="N108" s="3" t="s">
        <v>462</v>
      </c>
    </row>
    <row r="109" spans="1:14" ht="29.25" customHeight="1">
      <c r="A109" s="2">
        <v>108</v>
      </c>
      <c r="B109" s="2">
        <v>250108</v>
      </c>
      <c r="C109" s="2" t="s">
        <v>497</v>
      </c>
      <c r="D109" s="2" t="s">
        <v>487</v>
      </c>
      <c r="E109" s="2" t="s">
        <v>503</v>
      </c>
      <c r="F109" s="1" t="s">
        <v>76</v>
      </c>
      <c r="G109" s="1" t="s">
        <v>209</v>
      </c>
      <c r="H109" s="1">
        <v>7422621716</v>
      </c>
      <c r="I109" s="1" t="s">
        <v>297</v>
      </c>
      <c r="J109" s="1" t="s">
        <v>427</v>
      </c>
      <c r="K109" s="1" t="str">
        <f>MID(Table1[[#This Row],[تاریخ تولد]],6,2)</f>
        <v>07</v>
      </c>
      <c r="L109" s="1" t="str">
        <f>MID(Table1[[#This Row],[تاریخ تولد]],6,2)</f>
        <v>07</v>
      </c>
      <c r="M109" s="1" t="s">
        <v>461</v>
      </c>
      <c r="N109" s="3" t="s">
        <v>465</v>
      </c>
    </row>
    <row r="110" spans="1:14" ht="29.25" customHeight="1">
      <c r="A110" s="2">
        <v>109</v>
      </c>
      <c r="B110" s="2">
        <v>250109</v>
      </c>
      <c r="C110" s="2" t="s">
        <v>497</v>
      </c>
      <c r="D110" s="2" t="s">
        <v>487</v>
      </c>
      <c r="E110" s="2" t="s">
        <v>503</v>
      </c>
      <c r="F110" s="1" t="s">
        <v>76</v>
      </c>
      <c r="G110" s="1" t="s">
        <v>210</v>
      </c>
      <c r="H110" s="1">
        <v>6126711587</v>
      </c>
      <c r="I110" s="1" t="s">
        <v>72</v>
      </c>
      <c r="J110" s="1" t="s">
        <v>428</v>
      </c>
      <c r="K110" s="1" t="str">
        <f>MID(Table1[[#This Row],[تاریخ تولد]],6,2)</f>
        <v>12</v>
      </c>
      <c r="L110" s="1" t="str">
        <f>MID(Table1[[#This Row],[تاریخ تولد]],6,2)</f>
        <v>12</v>
      </c>
      <c r="M110" s="1" t="s">
        <v>461</v>
      </c>
      <c r="N110" s="3" t="s">
        <v>464</v>
      </c>
    </row>
    <row r="111" spans="1:14" ht="29.25" customHeight="1">
      <c r="A111" s="2">
        <v>110</v>
      </c>
      <c r="B111" s="2">
        <v>250110</v>
      </c>
      <c r="C111" s="2" t="s">
        <v>497</v>
      </c>
      <c r="D111" s="2" t="s">
        <v>487</v>
      </c>
      <c r="E111" s="2" t="s">
        <v>503</v>
      </c>
      <c r="F111" s="1" t="s">
        <v>76</v>
      </c>
      <c r="G111" s="1" t="s">
        <v>211</v>
      </c>
      <c r="H111" s="1">
        <v>1607372199</v>
      </c>
      <c r="I111" s="1" t="s">
        <v>286</v>
      </c>
      <c r="J111" s="1" t="s">
        <v>478</v>
      </c>
      <c r="K111" s="1" t="str">
        <f>MID(Table1[[#This Row],[تاریخ تولد]],6,2)</f>
        <v>09</v>
      </c>
      <c r="L111" s="1" t="str">
        <f>MID(Table1[[#This Row],[تاریخ تولد]],6,2)</f>
        <v>09</v>
      </c>
      <c r="M111" s="1" t="s">
        <v>461</v>
      </c>
      <c r="N111" s="3" t="s">
        <v>462</v>
      </c>
    </row>
    <row r="112" spans="1:14" ht="29.25" customHeight="1">
      <c r="A112" s="2">
        <v>111</v>
      </c>
      <c r="B112" s="2">
        <v>250111</v>
      </c>
      <c r="C112" s="2" t="s">
        <v>497</v>
      </c>
      <c r="D112" s="2" t="s">
        <v>487</v>
      </c>
      <c r="E112" s="2" t="s">
        <v>503</v>
      </c>
      <c r="F112" s="1" t="s">
        <v>76</v>
      </c>
      <c r="G112" s="1" t="s">
        <v>212</v>
      </c>
      <c r="H112" s="1">
        <v>5956203554</v>
      </c>
      <c r="I112" s="1" t="s">
        <v>307</v>
      </c>
      <c r="J112" s="1" t="s">
        <v>429</v>
      </c>
      <c r="K112" s="1" t="str">
        <f>MID(Table1[[#This Row],[تاریخ تولد]],6,2)</f>
        <v>06</v>
      </c>
      <c r="L112" s="1" t="str">
        <f>MID(Table1[[#This Row],[تاریخ تولد]],6,2)</f>
        <v>06</v>
      </c>
      <c r="M112" s="1" t="s">
        <v>461</v>
      </c>
      <c r="N112" s="3" t="s">
        <v>462</v>
      </c>
    </row>
    <row r="113" spans="1:14" ht="29.25" customHeight="1">
      <c r="A113" s="2">
        <v>112</v>
      </c>
      <c r="B113" s="2">
        <v>250112</v>
      </c>
      <c r="C113" s="2" t="s">
        <v>497</v>
      </c>
      <c r="D113" s="2" t="s">
        <v>487</v>
      </c>
      <c r="E113" s="2" t="s">
        <v>503</v>
      </c>
      <c r="F113" s="1" t="s">
        <v>76</v>
      </c>
      <c r="G113" s="1" t="s">
        <v>213</v>
      </c>
      <c r="H113" s="1">
        <v>3290482787</v>
      </c>
      <c r="I113" s="1" t="s">
        <v>21</v>
      </c>
      <c r="J113" s="1" t="s">
        <v>430</v>
      </c>
      <c r="K113" s="1" t="str">
        <f>MID(Table1[[#This Row],[تاریخ تولد]],6,2)</f>
        <v>09</v>
      </c>
      <c r="L113" s="1" t="str">
        <f>MID(Table1[[#This Row],[تاریخ تولد]],6,2)</f>
        <v>09</v>
      </c>
      <c r="M113" s="1" t="s">
        <v>461</v>
      </c>
      <c r="N113" s="3" t="s">
        <v>462</v>
      </c>
    </row>
    <row r="114" spans="1:14" ht="29.25" customHeight="1">
      <c r="A114" s="2">
        <v>113</v>
      </c>
      <c r="B114" s="2">
        <v>250113</v>
      </c>
      <c r="C114" s="2" t="s">
        <v>497</v>
      </c>
      <c r="D114" s="2" t="s">
        <v>487</v>
      </c>
      <c r="E114" s="2" t="s">
        <v>503</v>
      </c>
      <c r="F114" s="1" t="s">
        <v>77</v>
      </c>
      <c r="G114" s="1" t="s">
        <v>214</v>
      </c>
      <c r="H114" s="1">
        <v>8673398315</v>
      </c>
      <c r="I114" s="1" t="s">
        <v>104</v>
      </c>
      <c r="J114" s="1" t="s">
        <v>431</v>
      </c>
      <c r="K114" s="1" t="str">
        <f>MID(Table1[[#This Row],[تاریخ تولد]],6,2)</f>
        <v>02</v>
      </c>
      <c r="L114" s="1" t="str">
        <f>MID(Table1[[#This Row],[تاریخ تولد]],6,2)</f>
        <v>02</v>
      </c>
      <c r="M114" s="1" t="s">
        <v>461</v>
      </c>
      <c r="N114" s="3" t="s">
        <v>465</v>
      </c>
    </row>
    <row r="115" spans="1:14" ht="29.25" customHeight="1">
      <c r="A115" s="2">
        <v>114</v>
      </c>
      <c r="B115" s="2">
        <v>250114</v>
      </c>
      <c r="C115" s="2" t="s">
        <v>497</v>
      </c>
      <c r="D115" s="2" t="s">
        <v>487</v>
      </c>
      <c r="E115" s="2" t="s">
        <v>503</v>
      </c>
      <c r="F115" s="1" t="s">
        <v>78</v>
      </c>
      <c r="G115" s="1" t="s">
        <v>215</v>
      </c>
      <c r="H115" s="1">
        <v>5720445250</v>
      </c>
      <c r="I115" s="1" t="s">
        <v>280</v>
      </c>
      <c r="J115" s="1" t="s">
        <v>432</v>
      </c>
      <c r="K115" s="1" t="str">
        <f>MID(Table1[[#This Row],[تاریخ تولد]],6,2)</f>
        <v>11</v>
      </c>
      <c r="L115" s="1" t="str">
        <f>MID(Table1[[#This Row],[تاریخ تولد]],6,2)</f>
        <v>11</v>
      </c>
      <c r="M115" s="1" t="s">
        <v>461</v>
      </c>
      <c r="N115" s="3" t="s">
        <v>464</v>
      </c>
    </row>
    <row r="116" spans="1:14" ht="29.25" customHeight="1">
      <c r="A116" s="2">
        <v>115</v>
      </c>
      <c r="B116" s="2">
        <v>250115</v>
      </c>
      <c r="C116" s="2" t="s">
        <v>497</v>
      </c>
      <c r="D116" s="2" t="s">
        <v>487</v>
      </c>
      <c r="E116" s="2" t="s">
        <v>503</v>
      </c>
      <c r="F116" s="1" t="s">
        <v>78</v>
      </c>
      <c r="G116" s="1" t="s">
        <v>216</v>
      </c>
      <c r="H116" s="1">
        <v>2784756153</v>
      </c>
      <c r="I116" s="1" t="s">
        <v>109</v>
      </c>
      <c r="J116" s="1" t="s">
        <v>479</v>
      </c>
      <c r="K116" s="1" t="str">
        <f>MID(Table1[[#This Row],[تاریخ تولد]],6,2)</f>
        <v>07</v>
      </c>
      <c r="L116" s="1" t="str">
        <f>MID(Table1[[#This Row],[تاریخ تولد]],6,2)</f>
        <v>07</v>
      </c>
      <c r="M116" s="1" t="s">
        <v>461</v>
      </c>
      <c r="N116" s="3" t="s">
        <v>467</v>
      </c>
    </row>
    <row r="117" spans="1:14" ht="29.25" customHeight="1">
      <c r="A117" s="2">
        <v>116</v>
      </c>
      <c r="B117" s="2">
        <v>250116</v>
      </c>
      <c r="C117" s="2" t="s">
        <v>497</v>
      </c>
      <c r="D117" s="2" t="s">
        <v>487</v>
      </c>
      <c r="E117" s="2" t="s">
        <v>503</v>
      </c>
      <c r="F117" s="1" t="s">
        <v>78</v>
      </c>
      <c r="G117" s="1" t="s">
        <v>217</v>
      </c>
      <c r="H117" s="1">
        <v>4254226134</v>
      </c>
      <c r="I117" s="1" t="s">
        <v>281</v>
      </c>
      <c r="J117" s="1" t="s">
        <v>433</v>
      </c>
      <c r="K117" s="1" t="str">
        <f>MID(Table1[[#This Row],[تاریخ تولد]],6,2)</f>
        <v>12</v>
      </c>
      <c r="L117" s="1" t="str">
        <f>MID(Table1[[#This Row],[تاریخ تولد]],6,2)</f>
        <v>12</v>
      </c>
      <c r="M117" s="1" t="s">
        <v>461</v>
      </c>
      <c r="N117" s="3" t="s">
        <v>465</v>
      </c>
    </row>
    <row r="118" spans="1:14" ht="29.25" customHeight="1">
      <c r="A118" s="2">
        <v>117</v>
      </c>
      <c r="B118" s="2">
        <v>250117</v>
      </c>
      <c r="C118" s="2" t="s">
        <v>497</v>
      </c>
      <c r="D118" s="2" t="s">
        <v>487</v>
      </c>
      <c r="E118" s="2" t="s">
        <v>503</v>
      </c>
      <c r="F118" s="1" t="s">
        <v>78</v>
      </c>
      <c r="G118" s="1" t="s">
        <v>218</v>
      </c>
      <c r="H118" s="1">
        <v>5191216491</v>
      </c>
      <c r="I118" s="1" t="s">
        <v>304</v>
      </c>
      <c r="J118" s="1" t="s">
        <v>434</v>
      </c>
      <c r="K118" s="1" t="str">
        <f>MID(Table1[[#This Row],[تاریخ تولد]],6,2)</f>
        <v>06</v>
      </c>
      <c r="L118" s="1" t="str">
        <f>MID(Table1[[#This Row],[تاریخ تولد]],6,2)</f>
        <v>06</v>
      </c>
      <c r="M118" s="1" t="s">
        <v>461</v>
      </c>
      <c r="N118" s="3" t="s">
        <v>462</v>
      </c>
    </row>
    <row r="119" spans="1:14" ht="29.25" customHeight="1">
      <c r="A119" s="2">
        <v>118</v>
      </c>
      <c r="B119" s="2">
        <v>250118</v>
      </c>
      <c r="C119" s="2" t="s">
        <v>497</v>
      </c>
      <c r="D119" s="2" t="s">
        <v>487</v>
      </c>
      <c r="E119" s="2" t="s">
        <v>503</v>
      </c>
      <c r="F119" s="1" t="s">
        <v>78</v>
      </c>
      <c r="G119" s="1" t="s">
        <v>219</v>
      </c>
      <c r="H119" s="1">
        <v>7785830549</v>
      </c>
      <c r="I119" s="1" t="s">
        <v>95</v>
      </c>
      <c r="J119" s="1" t="s">
        <v>435</v>
      </c>
      <c r="K119" s="1" t="str">
        <f>MID(Table1[[#This Row],[تاریخ تولد]],6,2)</f>
        <v>12</v>
      </c>
      <c r="L119" s="1" t="str">
        <f>MID(Table1[[#This Row],[تاریخ تولد]],6,2)</f>
        <v>12</v>
      </c>
      <c r="M119" s="1" t="s">
        <v>461</v>
      </c>
      <c r="N119" s="3" t="s">
        <v>462</v>
      </c>
    </row>
    <row r="120" spans="1:14" ht="29.25" customHeight="1">
      <c r="A120" s="2">
        <v>119</v>
      </c>
      <c r="B120" s="2">
        <v>250119</v>
      </c>
      <c r="C120" s="2" t="s">
        <v>497</v>
      </c>
      <c r="D120" s="2" t="s">
        <v>487</v>
      </c>
      <c r="E120" s="2" t="s">
        <v>503</v>
      </c>
      <c r="F120" s="1" t="s">
        <v>79</v>
      </c>
      <c r="G120" s="1" t="s">
        <v>220</v>
      </c>
      <c r="H120" s="1">
        <v>1361740430</v>
      </c>
      <c r="I120" s="1" t="s">
        <v>99</v>
      </c>
      <c r="J120" s="1" t="s">
        <v>436</v>
      </c>
      <c r="K120" s="1" t="str">
        <f>MID(Table1[[#This Row],[تاریخ تولد]],6,2)</f>
        <v>08</v>
      </c>
      <c r="L120" s="1" t="str">
        <f>MID(Table1[[#This Row],[تاریخ تولد]],6,2)</f>
        <v>08</v>
      </c>
      <c r="M120" s="1" t="s">
        <v>461</v>
      </c>
      <c r="N120" s="3" t="s">
        <v>462</v>
      </c>
    </row>
    <row r="121" spans="1:14" ht="29.25" customHeight="1">
      <c r="A121" s="2">
        <v>120</v>
      </c>
      <c r="B121" s="2">
        <v>250120</v>
      </c>
      <c r="C121" s="2" t="s">
        <v>497</v>
      </c>
      <c r="D121" s="2" t="s">
        <v>487</v>
      </c>
      <c r="E121" s="2" t="s">
        <v>503</v>
      </c>
      <c r="F121" s="1" t="s">
        <v>80</v>
      </c>
      <c r="G121" s="1" t="s">
        <v>221</v>
      </c>
      <c r="H121" s="1">
        <v>3607853470</v>
      </c>
      <c r="I121" s="1" t="s">
        <v>287</v>
      </c>
      <c r="J121" s="1" t="s">
        <v>480</v>
      </c>
      <c r="K121" s="1" t="str">
        <f>MID(Table1[[#This Row],[تاریخ تولد]],6,2)</f>
        <v>04</v>
      </c>
      <c r="L121" s="1" t="str">
        <f>MID(Table1[[#This Row],[تاریخ تولد]],6,2)</f>
        <v>04</v>
      </c>
      <c r="M121" s="1" t="s">
        <v>461</v>
      </c>
      <c r="N121" s="3" t="s">
        <v>468</v>
      </c>
    </row>
    <row r="122" spans="1:14" ht="29.25" customHeight="1">
      <c r="A122" s="2">
        <v>121</v>
      </c>
      <c r="B122" s="2">
        <v>250121</v>
      </c>
      <c r="C122" s="2" t="s">
        <v>497</v>
      </c>
      <c r="D122" s="2" t="s">
        <v>487</v>
      </c>
      <c r="E122" s="2" t="s">
        <v>503</v>
      </c>
      <c r="F122" s="1" t="s">
        <v>81</v>
      </c>
      <c r="G122" s="1" t="s">
        <v>222</v>
      </c>
      <c r="H122" s="1">
        <v>7525253078</v>
      </c>
      <c r="I122" s="1" t="s">
        <v>96</v>
      </c>
      <c r="J122" s="1" t="s">
        <v>437</v>
      </c>
      <c r="K122" s="1" t="str">
        <f>MID(Table1[[#This Row],[تاریخ تولد]],6,2)</f>
        <v>06</v>
      </c>
      <c r="L122" s="1" t="str">
        <f>MID(Table1[[#This Row],[تاریخ تولد]],6,2)</f>
        <v>06</v>
      </c>
      <c r="M122" s="1" t="s">
        <v>463</v>
      </c>
      <c r="N122" s="3" t="s">
        <v>465</v>
      </c>
    </row>
    <row r="123" spans="1:14" ht="29.25" customHeight="1">
      <c r="A123" s="2">
        <v>122</v>
      </c>
      <c r="B123" s="2">
        <v>250122</v>
      </c>
      <c r="C123" s="2" t="s">
        <v>498</v>
      </c>
      <c r="D123" s="2" t="s">
        <v>487</v>
      </c>
      <c r="E123" s="2" t="s">
        <v>498</v>
      </c>
      <c r="F123" s="1" t="s">
        <v>82</v>
      </c>
      <c r="G123" s="1" t="s">
        <v>223</v>
      </c>
      <c r="H123" s="1">
        <v>1506035831</v>
      </c>
      <c r="I123" s="1" t="s">
        <v>290</v>
      </c>
      <c r="J123" s="1" t="s">
        <v>438</v>
      </c>
      <c r="K123" s="1" t="str">
        <f>MID(Table1[[#This Row],[تاریخ تولد]],6,2)</f>
        <v>11</v>
      </c>
      <c r="L123" s="1" t="str">
        <f>MID(Table1[[#This Row],[تاریخ تولد]],6,2)</f>
        <v>11</v>
      </c>
      <c r="M123" s="1" t="s">
        <v>463</v>
      </c>
      <c r="N123" s="3" t="s">
        <v>464</v>
      </c>
    </row>
    <row r="124" spans="1:14" ht="29.25" customHeight="1">
      <c r="A124" s="2">
        <v>123</v>
      </c>
      <c r="B124" s="2">
        <v>250123</v>
      </c>
      <c r="C124" s="2" t="s">
        <v>498</v>
      </c>
      <c r="D124" s="2" t="s">
        <v>487</v>
      </c>
      <c r="E124" s="2" t="s">
        <v>498</v>
      </c>
      <c r="F124" s="1" t="s">
        <v>83</v>
      </c>
      <c r="G124" s="1" t="s">
        <v>224</v>
      </c>
      <c r="H124" s="1">
        <v>5818984589</v>
      </c>
      <c r="I124" s="1" t="s">
        <v>251</v>
      </c>
      <c r="J124" s="1" t="s">
        <v>439</v>
      </c>
      <c r="K124" s="1" t="str">
        <f>MID(Table1[[#This Row],[تاریخ تولد]],6,2)</f>
        <v>10</v>
      </c>
      <c r="L124" s="1" t="str">
        <f>MID(Table1[[#This Row],[تاریخ تولد]],6,2)</f>
        <v>10</v>
      </c>
      <c r="M124" s="1" t="s">
        <v>463</v>
      </c>
      <c r="N124" s="3" t="s">
        <v>466</v>
      </c>
    </row>
    <row r="125" spans="1:14" ht="29.25" customHeight="1">
      <c r="A125" s="2">
        <v>124</v>
      </c>
      <c r="B125" s="2">
        <v>250124</v>
      </c>
      <c r="C125" s="2" t="s">
        <v>498</v>
      </c>
      <c r="D125" s="2" t="s">
        <v>487</v>
      </c>
      <c r="E125" s="2" t="s">
        <v>498</v>
      </c>
      <c r="F125" s="1" t="s">
        <v>84</v>
      </c>
      <c r="G125" s="1" t="s">
        <v>225</v>
      </c>
      <c r="H125" s="1">
        <v>2220697037</v>
      </c>
      <c r="I125" s="1" t="s">
        <v>48</v>
      </c>
      <c r="J125" s="1" t="s">
        <v>440</v>
      </c>
      <c r="K125" s="1" t="str">
        <f>MID(Table1[[#This Row],[تاریخ تولد]],6,2)</f>
        <v>05</v>
      </c>
      <c r="L125" s="1" t="str">
        <f>MID(Table1[[#This Row],[تاریخ تولد]],6,2)</f>
        <v>05</v>
      </c>
      <c r="M125" s="1" t="s">
        <v>463</v>
      </c>
      <c r="N125" s="3" t="s">
        <v>462</v>
      </c>
    </row>
    <row r="126" spans="1:14" ht="29.25" customHeight="1">
      <c r="A126" s="2">
        <v>125</v>
      </c>
      <c r="B126" s="2">
        <v>250125</v>
      </c>
      <c r="C126" s="2" t="s">
        <v>498</v>
      </c>
      <c r="D126" s="2" t="s">
        <v>487</v>
      </c>
      <c r="E126" s="2" t="s">
        <v>498</v>
      </c>
      <c r="F126" s="1" t="s">
        <v>85</v>
      </c>
      <c r="G126" s="1" t="s">
        <v>226</v>
      </c>
      <c r="H126" s="1">
        <v>2916284623</v>
      </c>
      <c r="I126" s="1" t="s">
        <v>8</v>
      </c>
      <c r="J126" s="1" t="s">
        <v>441</v>
      </c>
      <c r="K126" s="1" t="str">
        <f>MID(Table1[[#This Row],[تاریخ تولد]],6,2)</f>
        <v>08</v>
      </c>
      <c r="L126" s="1" t="str">
        <f>MID(Table1[[#This Row],[تاریخ تولد]],6,2)</f>
        <v>08</v>
      </c>
      <c r="M126" s="1" t="s">
        <v>461</v>
      </c>
      <c r="N126" s="3" t="s">
        <v>462</v>
      </c>
    </row>
    <row r="127" spans="1:14" ht="29.25" customHeight="1">
      <c r="A127" s="2">
        <v>126</v>
      </c>
      <c r="B127" s="2">
        <v>250126</v>
      </c>
      <c r="C127" s="2" t="s">
        <v>498</v>
      </c>
      <c r="D127" s="2" t="s">
        <v>487</v>
      </c>
      <c r="E127" s="2" t="s">
        <v>498</v>
      </c>
      <c r="F127" s="1" t="s">
        <v>86</v>
      </c>
      <c r="G127" s="1" t="s">
        <v>227</v>
      </c>
      <c r="H127" s="1">
        <v>8603425589</v>
      </c>
      <c r="I127" s="1" t="s">
        <v>271</v>
      </c>
      <c r="J127" s="1" t="s">
        <v>442</v>
      </c>
      <c r="K127" s="1" t="str">
        <f>MID(Table1[[#This Row],[تاریخ تولد]],6,2)</f>
        <v>01</v>
      </c>
      <c r="L127" s="1" t="str">
        <f>MID(Table1[[#This Row],[تاریخ تولد]],6,2)</f>
        <v>01</v>
      </c>
      <c r="M127" s="1" t="s">
        <v>461</v>
      </c>
      <c r="N127" s="3" t="s">
        <v>462</v>
      </c>
    </row>
    <row r="128" spans="1:14" ht="29.25" customHeight="1">
      <c r="A128" s="2">
        <v>127</v>
      </c>
      <c r="B128" s="2">
        <v>250127</v>
      </c>
      <c r="C128" s="2" t="s">
        <v>498</v>
      </c>
      <c r="D128" s="2" t="s">
        <v>487</v>
      </c>
      <c r="E128" s="2" t="s">
        <v>498</v>
      </c>
      <c r="F128" s="1" t="s">
        <v>87</v>
      </c>
      <c r="G128" s="1" t="s">
        <v>228</v>
      </c>
      <c r="H128" s="1">
        <v>2533975453</v>
      </c>
      <c r="I128" s="1" t="s">
        <v>308</v>
      </c>
      <c r="J128" s="1" t="s">
        <v>443</v>
      </c>
      <c r="K128" s="1" t="str">
        <f>MID(Table1[[#This Row],[تاریخ تولد]],6,2)</f>
        <v>07</v>
      </c>
      <c r="L128" s="1" t="str">
        <f>MID(Table1[[#This Row],[تاریخ تولد]],6,2)</f>
        <v>07</v>
      </c>
      <c r="M128" s="1" t="s">
        <v>463</v>
      </c>
      <c r="N128" s="3" t="s">
        <v>467</v>
      </c>
    </row>
    <row r="129" spans="1:14" ht="29.25" customHeight="1">
      <c r="A129" s="2">
        <v>128</v>
      </c>
      <c r="B129" s="2">
        <v>250128</v>
      </c>
      <c r="C129" s="2" t="s">
        <v>498</v>
      </c>
      <c r="D129" s="2" t="s">
        <v>487</v>
      </c>
      <c r="E129" s="2" t="s">
        <v>498</v>
      </c>
      <c r="F129" s="1" t="s">
        <v>88</v>
      </c>
      <c r="G129" s="1" t="s">
        <v>228</v>
      </c>
      <c r="H129" s="1">
        <v>6884755966</v>
      </c>
      <c r="I129" s="1" t="s">
        <v>99</v>
      </c>
      <c r="J129" s="1" t="s">
        <v>444</v>
      </c>
      <c r="K129" s="1" t="str">
        <f>MID(Table1[[#This Row],[تاریخ تولد]],6,2)</f>
        <v>11</v>
      </c>
      <c r="L129" s="1" t="str">
        <f>MID(Table1[[#This Row],[تاریخ تولد]],6,2)</f>
        <v>11</v>
      </c>
      <c r="M129" s="1" t="s">
        <v>463</v>
      </c>
      <c r="N129" s="3" t="s">
        <v>464</v>
      </c>
    </row>
    <row r="130" spans="1:14" ht="29.25" customHeight="1">
      <c r="A130" s="2">
        <v>129</v>
      </c>
      <c r="B130" s="2">
        <v>250129</v>
      </c>
      <c r="C130" s="2" t="s">
        <v>498</v>
      </c>
      <c r="D130" s="2" t="s">
        <v>487</v>
      </c>
      <c r="E130" s="2" t="s">
        <v>498</v>
      </c>
      <c r="F130" s="1" t="s">
        <v>89</v>
      </c>
      <c r="G130" s="1" t="s">
        <v>229</v>
      </c>
      <c r="H130" s="1">
        <v>3898199365</v>
      </c>
      <c r="I130" s="1" t="s">
        <v>256</v>
      </c>
      <c r="J130" s="1" t="s">
        <v>445</v>
      </c>
      <c r="K130" s="1" t="str">
        <f>MID(Table1[[#This Row],[تاریخ تولد]],6,2)</f>
        <v>12</v>
      </c>
      <c r="L130" s="1" t="str">
        <f>MID(Table1[[#This Row],[تاریخ تولد]],6,2)</f>
        <v>12</v>
      </c>
      <c r="M130" s="1" t="s">
        <v>463</v>
      </c>
      <c r="N130" s="3" t="s">
        <v>464</v>
      </c>
    </row>
    <row r="131" spans="1:14" ht="29.25" customHeight="1">
      <c r="A131" s="2">
        <v>130</v>
      </c>
      <c r="B131" s="2">
        <v>250130</v>
      </c>
      <c r="C131" s="2" t="s">
        <v>498</v>
      </c>
      <c r="D131" s="2" t="s">
        <v>487</v>
      </c>
      <c r="E131" s="2" t="s">
        <v>498</v>
      </c>
      <c r="F131" s="1" t="s">
        <v>90</v>
      </c>
      <c r="G131" s="1" t="s">
        <v>230</v>
      </c>
      <c r="H131" s="1">
        <v>7716726043</v>
      </c>
      <c r="I131" s="1" t="s">
        <v>102</v>
      </c>
      <c r="J131" s="1" t="s">
        <v>446</v>
      </c>
      <c r="K131" s="1" t="str">
        <f>MID(Table1[[#This Row],[تاریخ تولد]],6,2)</f>
        <v>09</v>
      </c>
      <c r="L131" s="1" t="str">
        <f>MID(Table1[[#This Row],[تاریخ تولد]],6,2)</f>
        <v>09</v>
      </c>
      <c r="M131" s="1" t="s">
        <v>463</v>
      </c>
      <c r="N131" s="3" t="s">
        <v>465</v>
      </c>
    </row>
    <row r="132" spans="1:14" ht="29.25" customHeight="1">
      <c r="A132" s="2">
        <v>131</v>
      </c>
      <c r="B132" s="2">
        <v>250131</v>
      </c>
      <c r="C132" s="2" t="s">
        <v>498</v>
      </c>
      <c r="D132" s="2" t="s">
        <v>487</v>
      </c>
      <c r="E132" s="2" t="s">
        <v>498</v>
      </c>
      <c r="F132" s="1" t="s">
        <v>91</v>
      </c>
      <c r="G132" s="1" t="s">
        <v>231</v>
      </c>
      <c r="H132" s="1">
        <v>4327376529</v>
      </c>
      <c r="I132" s="1" t="s">
        <v>296</v>
      </c>
      <c r="J132" s="1" t="s">
        <v>447</v>
      </c>
      <c r="K132" s="1" t="str">
        <f>MID(Table1[[#This Row],[تاریخ تولد]],6,2)</f>
        <v>12</v>
      </c>
      <c r="L132" s="1" t="str">
        <f>MID(Table1[[#This Row],[تاریخ تولد]],6,2)</f>
        <v>12</v>
      </c>
      <c r="M132" s="1" t="s">
        <v>461</v>
      </c>
      <c r="N132" s="3" t="s">
        <v>462</v>
      </c>
    </row>
    <row r="133" spans="1:14" ht="29.25" customHeight="1">
      <c r="A133" s="2">
        <v>132</v>
      </c>
      <c r="B133" s="2">
        <v>250132</v>
      </c>
      <c r="C133" s="2" t="s">
        <v>499</v>
      </c>
      <c r="D133" s="2" t="s">
        <v>487</v>
      </c>
      <c r="E133" s="2" t="s">
        <v>499</v>
      </c>
      <c r="F133" s="1" t="s">
        <v>92</v>
      </c>
      <c r="G133" s="1" t="s">
        <v>232</v>
      </c>
      <c r="H133" s="1">
        <v>6911919757</v>
      </c>
      <c r="I133" s="1" t="s">
        <v>264</v>
      </c>
      <c r="J133" s="1" t="s">
        <v>361</v>
      </c>
      <c r="K133" s="1" t="str">
        <f>MID(Table1[[#This Row],[تاریخ تولد]],6,2)</f>
        <v>10</v>
      </c>
      <c r="L133" s="1" t="str">
        <f>MID(Table1[[#This Row],[تاریخ تولد]],6,2)</f>
        <v>10</v>
      </c>
      <c r="M133" s="1" t="s">
        <v>463</v>
      </c>
      <c r="N133" s="3" t="s">
        <v>464</v>
      </c>
    </row>
    <row r="134" spans="1:14" ht="29.25" customHeight="1">
      <c r="A134" s="2">
        <v>133</v>
      </c>
      <c r="B134" s="2">
        <v>250133</v>
      </c>
      <c r="C134" s="2" t="s">
        <v>499</v>
      </c>
      <c r="D134" s="2" t="s">
        <v>487</v>
      </c>
      <c r="E134" s="2" t="s">
        <v>499</v>
      </c>
      <c r="F134" s="1" t="s">
        <v>93</v>
      </c>
      <c r="G134" s="1" t="s">
        <v>233</v>
      </c>
      <c r="H134" s="1">
        <v>8677834606</v>
      </c>
      <c r="I134" s="1" t="s">
        <v>266</v>
      </c>
      <c r="J134" s="1" t="s">
        <v>448</v>
      </c>
      <c r="K134" s="1" t="str">
        <f>MID(Table1[[#This Row],[تاریخ تولد]],6,2)</f>
        <v>04</v>
      </c>
      <c r="L134" s="1" t="str">
        <f>MID(Table1[[#This Row],[تاریخ تولد]],6,2)</f>
        <v>04</v>
      </c>
      <c r="M134" s="1" t="s">
        <v>463</v>
      </c>
      <c r="N134" s="3" t="s">
        <v>465</v>
      </c>
    </row>
    <row r="135" spans="1:14" ht="29.25" customHeight="1">
      <c r="A135" s="2">
        <v>134</v>
      </c>
      <c r="B135" s="2">
        <v>250134</v>
      </c>
      <c r="C135" s="2" t="s">
        <v>499</v>
      </c>
      <c r="D135" s="2" t="s">
        <v>486</v>
      </c>
      <c r="E135" s="2" t="s">
        <v>499</v>
      </c>
      <c r="F135" s="1" t="s">
        <v>94</v>
      </c>
      <c r="G135" s="1" t="s">
        <v>234</v>
      </c>
      <c r="H135" s="1">
        <v>3114310313</v>
      </c>
      <c r="I135" s="1" t="s">
        <v>292</v>
      </c>
      <c r="J135" s="1" t="s">
        <v>449</v>
      </c>
      <c r="K135" s="1" t="str">
        <f>MID(Table1[[#This Row],[تاریخ تولد]],6,2)</f>
        <v>10</v>
      </c>
      <c r="L135" s="1" t="str">
        <f>MID(Table1[[#This Row],[تاریخ تولد]],6,2)</f>
        <v>10</v>
      </c>
      <c r="M135" s="1" t="s">
        <v>461</v>
      </c>
      <c r="N135" s="3" t="s">
        <v>464</v>
      </c>
    </row>
    <row r="136" spans="1:14" ht="29.25" customHeight="1">
      <c r="A136" s="2">
        <v>135</v>
      </c>
      <c r="B136" s="2">
        <v>250135</v>
      </c>
      <c r="C136" s="2" t="s">
        <v>499</v>
      </c>
      <c r="D136" s="2" t="s">
        <v>486</v>
      </c>
      <c r="E136" s="2" t="s">
        <v>499</v>
      </c>
      <c r="F136" s="1" t="s">
        <v>95</v>
      </c>
      <c r="G136" s="1" t="s">
        <v>235</v>
      </c>
      <c r="H136" s="1">
        <v>3494212446</v>
      </c>
      <c r="I136" s="1" t="s">
        <v>288</v>
      </c>
      <c r="J136" s="1" t="s">
        <v>450</v>
      </c>
      <c r="K136" s="1" t="str">
        <f>MID(Table1[[#This Row],[تاریخ تولد]],6,2)</f>
        <v>06</v>
      </c>
      <c r="L136" s="1" t="str">
        <f>MID(Table1[[#This Row],[تاریخ تولد]],6,2)</f>
        <v>06</v>
      </c>
      <c r="M136" s="1" t="s">
        <v>463</v>
      </c>
      <c r="N136" s="3" t="s">
        <v>462</v>
      </c>
    </row>
    <row r="137" spans="1:14" ht="29.25" customHeight="1">
      <c r="A137" s="2">
        <v>136</v>
      </c>
      <c r="B137" s="2">
        <v>250136</v>
      </c>
      <c r="C137" s="2" t="s">
        <v>499</v>
      </c>
      <c r="D137" s="2" t="s">
        <v>486</v>
      </c>
      <c r="E137" s="2" t="s">
        <v>499</v>
      </c>
      <c r="F137" s="1" t="s">
        <v>95</v>
      </c>
      <c r="G137" s="1" t="s">
        <v>236</v>
      </c>
      <c r="H137" s="1">
        <v>6746402937</v>
      </c>
      <c r="I137" s="1" t="s">
        <v>96</v>
      </c>
      <c r="J137" s="1" t="s">
        <v>451</v>
      </c>
      <c r="K137" s="1" t="str">
        <f>MID(Table1[[#This Row],[تاریخ تولد]],6,2)</f>
        <v>06</v>
      </c>
      <c r="L137" s="1" t="str">
        <f>MID(Table1[[#This Row],[تاریخ تولد]],6,2)</f>
        <v>06</v>
      </c>
      <c r="M137" s="1" t="s">
        <v>463</v>
      </c>
      <c r="N137" s="3" t="s">
        <v>462</v>
      </c>
    </row>
    <row r="138" spans="1:14" ht="29.25" customHeight="1">
      <c r="A138" s="2">
        <v>137</v>
      </c>
      <c r="B138" s="2">
        <v>250137</v>
      </c>
      <c r="C138" s="2" t="s">
        <v>499</v>
      </c>
      <c r="D138" s="2" t="s">
        <v>486</v>
      </c>
      <c r="E138" s="2" t="s">
        <v>499</v>
      </c>
      <c r="F138" s="1" t="s">
        <v>95</v>
      </c>
      <c r="G138" s="1" t="s">
        <v>237</v>
      </c>
      <c r="H138" s="1">
        <v>6524429543</v>
      </c>
      <c r="I138" s="1" t="s">
        <v>106</v>
      </c>
      <c r="J138" s="1" t="s">
        <v>452</v>
      </c>
      <c r="K138" s="1" t="str">
        <f>MID(Table1[[#This Row],[تاریخ تولد]],6,2)</f>
        <v>06</v>
      </c>
      <c r="L138" s="1" t="str">
        <f>MID(Table1[[#This Row],[تاریخ تولد]],6,2)</f>
        <v>06</v>
      </c>
      <c r="M138" s="1" t="s">
        <v>463</v>
      </c>
      <c r="N138" s="3" t="s">
        <v>462</v>
      </c>
    </row>
    <row r="139" spans="1:14" ht="29.25" customHeight="1">
      <c r="A139" s="2">
        <v>138</v>
      </c>
      <c r="B139" s="2">
        <v>250138</v>
      </c>
      <c r="C139" s="2" t="s">
        <v>499</v>
      </c>
      <c r="D139" s="2" t="s">
        <v>487</v>
      </c>
      <c r="E139" s="2" t="s">
        <v>499</v>
      </c>
      <c r="F139" s="1" t="s">
        <v>95</v>
      </c>
      <c r="G139" s="1" t="s">
        <v>238</v>
      </c>
      <c r="H139" s="1">
        <v>1936145256</v>
      </c>
      <c r="I139" s="1" t="s">
        <v>260</v>
      </c>
      <c r="J139" s="1" t="s">
        <v>453</v>
      </c>
      <c r="K139" s="1" t="str">
        <f>MID(Table1[[#This Row],[تاریخ تولد]],6,2)</f>
        <v>09</v>
      </c>
      <c r="L139" s="1" t="str">
        <f>MID(Table1[[#This Row],[تاریخ تولد]],6,2)</f>
        <v>09</v>
      </c>
      <c r="M139" s="1" t="s">
        <v>461</v>
      </c>
      <c r="N139" s="3" t="s">
        <v>464</v>
      </c>
    </row>
    <row r="140" spans="1:14" ht="29.25" customHeight="1">
      <c r="A140" s="2">
        <v>139</v>
      </c>
      <c r="B140" s="2">
        <v>250139</v>
      </c>
      <c r="C140" s="2" t="s">
        <v>499</v>
      </c>
      <c r="D140" s="2" t="s">
        <v>487</v>
      </c>
      <c r="E140" s="2" t="s">
        <v>499</v>
      </c>
      <c r="F140" s="1" t="s">
        <v>95</v>
      </c>
      <c r="G140" s="1" t="s">
        <v>239</v>
      </c>
      <c r="H140" s="1">
        <v>5704429339</v>
      </c>
      <c r="I140" s="1" t="s">
        <v>315</v>
      </c>
      <c r="J140" s="1" t="s">
        <v>454</v>
      </c>
      <c r="K140" s="1" t="str">
        <f>MID(Table1[[#This Row],[تاریخ تولد]],6,2)</f>
        <v>06</v>
      </c>
      <c r="L140" s="1" t="str">
        <f>MID(Table1[[#This Row],[تاریخ تولد]],6,2)</f>
        <v>06</v>
      </c>
      <c r="M140" s="1" t="s">
        <v>463</v>
      </c>
      <c r="N140" s="3" t="s">
        <v>466</v>
      </c>
    </row>
    <row r="141" spans="1:14" ht="29.25" customHeight="1">
      <c r="A141" s="2">
        <v>140</v>
      </c>
      <c r="B141" s="2">
        <v>250140</v>
      </c>
      <c r="C141" s="2" t="s">
        <v>499</v>
      </c>
      <c r="D141" s="2" t="s">
        <v>487</v>
      </c>
      <c r="E141" s="2" t="s">
        <v>499</v>
      </c>
      <c r="F141" s="1" t="s">
        <v>95</v>
      </c>
      <c r="G141" s="1" t="s">
        <v>240</v>
      </c>
      <c r="H141" s="1">
        <v>8952591998</v>
      </c>
      <c r="I141" s="1" t="s">
        <v>92</v>
      </c>
      <c r="J141" s="1" t="s">
        <v>455</v>
      </c>
      <c r="K141" s="1" t="str">
        <f>MID(Table1[[#This Row],[تاریخ تولد]],6,2)</f>
        <v>06</v>
      </c>
      <c r="L141" s="1" t="str">
        <f>MID(Table1[[#This Row],[تاریخ تولد]],6,2)</f>
        <v>06</v>
      </c>
      <c r="M141" s="1" t="s">
        <v>463</v>
      </c>
      <c r="N141" s="3" t="s">
        <v>462</v>
      </c>
    </row>
    <row r="142" spans="1:14" ht="29.25" customHeight="1">
      <c r="A142" s="2">
        <v>141</v>
      </c>
      <c r="B142" s="2">
        <v>250141</v>
      </c>
      <c r="C142" s="2" t="s">
        <v>499</v>
      </c>
      <c r="D142" s="2" t="s">
        <v>487</v>
      </c>
      <c r="E142" s="2" t="s">
        <v>499</v>
      </c>
      <c r="F142" s="1" t="s">
        <v>95</v>
      </c>
      <c r="G142" s="1" t="s">
        <v>241</v>
      </c>
      <c r="H142" s="1">
        <v>1349598408</v>
      </c>
      <c r="I142" s="1" t="s">
        <v>298</v>
      </c>
      <c r="J142" s="1" t="s">
        <v>481</v>
      </c>
      <c r="K142" s="1" t="str">
        <f>MID(Table1[[#This Row],[تاریخ تولد]],6,2)</f>
        <v>08</v>
      </c>
      <c r="L142" s="1" t="str">
        <f>MID(Table1[[#This Row],[تاریخ تولد]],6,2)</f>
        <v>08</v>
      </c>
      <c r="M142" s="1" t="s">
        <v>463</v>
      </c>
      <c r="N142" s="3" t="s">
        <v>464</v>
      </c>
    </row>
    <row r="143" spans="1:14" ht="29.25" customHeight="1">
      <c r="A143" s="2">
        <v>142</v>
      </c>
      <c r="B143" s="2">
        <v>250142</v>
      </c>
      <c r="C143" s="2" t="s">
        <v>500</v>
      </c>
      <c r="D143" s="2" t="s">
        <v>487</v>
      </c>
      <c r="E143" s="2" t="s">
        <v>500</v>
      </c>
      <c r="F143" s="1" t="s">
        <v>95</v>
      </c>
      <c r="G143" s="1" t="s">
        <v>242</v>
      </c>
      <c r="H143" s="1">
        <v>4217183630</v>
      </c>
      <c r="I143" s="1" t="s">
        <v>301</v>
      </c>
      <c r="J143" s="1" t="s">
        <v>456</v>
      </c>
      <c r="K143" s="1" t="str">
        <f>MID(Table1[[#This Row],[تاریخ تولد]],6,2)</f>
        <v>02</v>
      </c>
      <c r="L143" s="1" t="str">
        <f>MID(Table1[[#This Row],[تاریخ تولد]],6,2)</f>
        <v>02</v>
      </c>
      <c r="M143" s="1" t="s">
        <v>463</v>
      </c>
      <c r="N143" s="3" t="s">
        <v>462</v>
      </c>
    </row>
    <row r="144" spans="1:14" ht="29.25" customHeight="1">
      <c r="A144" s="2">
        <v>143</v>
      </c>
      <c r="B144" s="2">
        <v>250143</v>
      </c>
      <c r="C144" s="2" t="s">
        <v>500</v>
      </c>
      <c r="D144" s="2" t="s">
        <v>487</v>
      </c>
      <c r="E144" s="2" t="s">
        <v>500</v>
      </c>
      <c r="F144" s="1" t="s">
        <v>95</v>
      </c>
      <c r="G144" s="1" t="s">
        <v>243</v>
      </c>
      <c r="H144" s="1">
        <v>3424116081</v>
      </c>
      <c r="I144" s="1" t="s">
        <v>317</v>
      </c>
      <c r="J144" s="1" t="s">
        <v>457</v>
      </c>
      <c r="K144" s="1" t="str">
        <f>MID(Table1[[#This Row],[تاریخ تولد]],6,2)</f>
        <v>01</v>
      </c>
      <c r="L144" s="1" t="str">
        <f>MID(Table1[[#This Row],[تاریخ تولد]],6,2)</f>
        <v>01</v>
      </c>
      <c r="M144" s="1" t="s">
        <v>463</v>
      </c>
      <c r="N144" s="3" t="s">
        <v>462</v>
      </c>
    </row>
    <row r="145" spans="1:14" ht="29.25" customHeight="1">
      <c r="A145" s="2">
        <v>144</v>
      </c>
      <c r="B145" s="2">
        <v>250144</v>
      </c>
      <c r="C145" s="2" t="s">
        <v>500</v>
      </c>
      <c r="D145" s="2" t="s">
        <v>487</v>
      </c>
      <c r="E145" s="2" t="s">
        <v>500</v>
      </c>
      <c r="F145" s="1" t="s">
        <v>96</v>
      </c>
      <c r="G145" s="1" t="s">
        <v>244</v>
      </c>
      <c r="H145" s="1">
        <v>2136619116</v>
      </c>
      <c r="I145" s="1" t="s">
        <v>309</v>
      </c>
      <c r="J145" s="1" t="s">
        <v>458</v>
      </c>
      <c r="K145" s="1" t="str">
        <f>MID(Table1[[#This Row],[تاریخ تولد]],6,2)</f>
        <v>10</v>
      </c>
      <c r="L145" s="1" t="str">
        <f>MID(Table1[[#This Row],[تاریخ تولد]],6,2)</f>
        <v>10</v>
      </c>
      <c r="M145" s="1" t="s">
        <v>463</v>
      </c>
      <c r="N145" s="3" t="s">
        <v>462</v>
      </c>
    </row>
    <row r="146" spans="1:14" ht="29.25" customHeight="1">
      <c r="A146" s="2">
        <v>145</v>
      </c>
      <c r="B146" s="2">
        <v>250145</v>
      </c>
      <c r="C146" s="2" t="s">
        <v>500</v>
      </c>
      <c r="D146" s="2" t="s">
        <v>487</v>
      </c>
      <c r="E146" s="2" t="s">
        <v>500</v>
      </c>
      <c r="F146" s="1" t="s">
        <v>96</v>
      </c>
      <c r="G146" s="1" t="s">
        <v>245</v>
      </c>
      <c r="H146" s="1">
        <v>2547430112</v>
      </c>
      <c r="I146" s="1" t="s">
        <v>95</v>
      </c>
      <c r="J146" s="1" t="s">
        <v>479</v>
      </c>
      <c r="K146" s="1" t="str">
        <f>MID(Table1[[#This Row],[تاریخ تولد]],6,2)</f>
        <v>07</v>
      </c>
      <c r="L146" s="1" t="str">
        <f>MID(Table1[[#This Row],[تاریخ تولد]],6,2)</f>
        <v>07</v>
      </c>
      <c r="M146" s="1" t="s">
        <v>463</v>
      </c>
      <c r="N146" s="3" t="s">
        <v>464</v>
      </c>
    </row>
    <row r="147" spans="1:14" ht="29.25" customHeight="1">
      <c r="A147" s="2">
        <v>146</v>
      </c>
      <c r="B147" s="2">
        <v>250146</v>
      </c>
      <c r="C147" s="2" t="s">
        <v>500</v>
      </c>
      <c r="D147" s="2" t="s">
        <v>487</v>
      </c>
      <c r="E147" s="2" t="s">
        <v>500</v>
      </c>
      <c r="F147" s="1" t="s">
        <v>97</v>
      </c>
      <c r="G147" s="1" t="s">
        <v>245</v>
      </c>
      <c r="H147" s="1">
        <v>1760393322</v>
      </c>
      <c r="I147" s="1" t="s">
        <v>273</v>
      </c>
      <c r="J147" s="1" t="s">
        <v>459</v>
      </c>
      <c r="K147" s="1" t="str">
        <f>MID(Table1[[#This Row],[تاریخ تولد]],6,2)</f>
        <v>01</v>
      </c>
      <c r="L147" s="1" t="str">
        <f>MID(Table1[[#This Row],[تاریخ تولد]],6,2)</f>
        <v>01</v>
      </c>
      <c r="M147" s="1" t="s">
        <v>463</v>
      </c>
      <c r="N147" s="3" t="s">
        <v>465</v>
      </c>
    </row>
    <row r="148" spans="1:14" ht="29.25" customHeight="1">
      <c r="A148" s="2">
        <v>147</v>
      </c>
      <c r="B148" s="2">
        <v>250147</v>
      </c>
      <c r="C148" s="2" t="s">
        <v>500</v>
      </c>
      <c r="D148" s="2" t="s">
        <v>487</v>
      </c>
      <c r="E148" s="2" t="s">
        <v>500</v>
      </c>
      <c r="F148" s="1" t="s">
        <v>97</v>
      </c>
      <c r="G148" s="1" t="s">
        <v>246</v>
      </c>
      <c r="H148" s="1">
        <v>2433075669</v>
      </c>
      <c r="I148" s="1" t="s">
        <v>105</v>
      </c>
      <c r="J148" s="1" t="s">
        <v>482</v>
      </c>
      <c r="K148" s="1" t="str">
        <f>MID(Table1[[#This Row],[تاریخ تولد]],6,2)</f>
        <v>04</v>
      </c>
      <c r="L148" s="1" t="str">
        <f>MID(Table1[[#This Row],[تاریخ تولد]],6,2)</f>
        <v>04</v>
      </c>
      <c r="M148" s="1" t="s">
        <v>463</v>
      </c>
      <c r="N148" s="3" t="s">
        <v>465</v>
      </c>
    </row>
    <row r="149" spans="1:14" ht="29.25" customHeight="1">
      <c r="A149" s="2">
        <v>148</v>
      </c>
      <c r="B149" s="2">
        <v>250148</v>
      </c>
      <c r="C149" s="2" t="s">
        <v>500</v>
      </c>
      <c r="D149" s="2" t="s">
        <v>487</v>
      </c>
      <c r="E149" s="2" t="s">
        <v>500</v>
      </c>
      <c r="F149" s="1" t="s">
        <v>98</v>
      </c>
      <c r="G149" s="1" t="s">
        <v>247</v>
      </c>
      <c r="H149" s="1">
        <v>5018163386</v>
      </c>
      <c r="I149" s="1" t="s">
        <v>11</v>
      </c>
      <c r="J149" s="1" t="s">
        <v>460</v>
      </c>
      <c r="K149" s="1" t="str">
        <f>MID(Table1[[#This Row],[تاریخ تولد]],6,2)</f>
        <v>09</v>
      </c>
      <c r="L149" s="1" t="str">
        <f>MID(Table1[[#This Row],[تاریخ تولد]],6,2)</f>
        <v>09</v>
      </c>
      <c r="M149" s="1" t="s">
        <v>461</v>
      </c>
      <c r="N149" s="3" t="s">
        <v>466</v>
      </c>
    </row>
    <row r="150" spans="1:14" ht="29.25" customHeight="1">
      <c r="A150" s="2">
        <v>149</v>
      </c>
      <c r="B150" s="2">
        <v>250149</v>
      </c>
      <c r="C150" s="2" t="s">
        <v>500</v>
      </c>
      <c r="D150" s="2" t="s">
        <v>487</v>
      </c>
      <c r="E150" s="2" t="s">
        <v>500</v>
      </c>
      <c r="F150" s="1" t="s">
        <v>99</v>
      </c>
      <c r="G150" s="1" t="s">
        <v>248</v>
      </c>
      <c r="H150" s="1">
        <v>6337987870</v>
      </c>
      <c r="I150" s="1" t="s">
        <v>285</v>
      </c>
      <c r="J150" s="1" t="s">
        <v>361</v>
      </c>
      <c r="K150" s="1" t="str">
        <f>MID(Table1[[#This Row],[تاریخ تولد]],6,2)</f>
        <v>10</v>
      </c>
      <c r="L150" s="1" t="str">
        <f>MID(Table1[[#This Row],[تاریخ تولد]],6,2)</f>
        <v>10</v>
      </c>
      <c r="M150" s="1" t="s">
        <v>463</v>
      </c>
      <c r="N150" s="3" t="s">
        <v>462</v>
      </c>
    </row>
    <row r="151" spans="1:14" ht="29.25" customHeight="1">
      <c r="A151" s="2">
        <v>150</v>
      </c>
      <c r="B151" s="2">
        <v>250150</v>
      </c>
      <c r="C151" s="2" t="s">
        <v>500</v>
      </c>
      <c r="D151" s="2" t="s">
        <v>487</v>
      </c>
      <c r="E151" s="2" t="s">
        <v>500</v>
      </c>
      <c r="F151" s="1" t="s">
        <v>100</v>
      </c>
      <c r="G151" s="1" t="s">
        <v>249</v>
      </c>
      <c r="H151" s="1">
        <v>8836937488</v>
      </c>
      <c r="I151" s="1" t="s">
        <v>308</v>
      </c>
      <c r="J151" s="1" t="s">
        <v>361</v>
      </c>
      <c r="K151" s="1" t="str">
        <f>MID(Table1[[#This Row],[تاریخ تولد]],6,2)</f>
        <v>10</v>
      </c>
      <c r="L151" s="1" t="str">
        <f>MID(Table1[[#This Row],[تاریخ تولد]],6,2)</f>
        <v>10</v>
      </c>
      <c r="M151" s="1" t="s">
        <v>463</v>
      </c>
      <c r="N151" s="3" t="s">
        <v>462</v>
      </c>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3710A-B797-4947-912B-788A1C93D00E}">
  <dimension ref="A3:AD12"/>
  <sheetViews>
    <sheetView rightToLeft="1" zoomScale="70" zoomScaleNormal="70" workbookViewId="0">
      <selection activeCell="L42" sqref="L42"/>
    </sheetView>
  </sheetViews>
  <sheetFormatPr defaultRowHeight="13.5"/>
  <cols>
    <col min="1" max="1" width="12.875" bestFit="1" customWidth="1"/>
    <col min="2" max="2" width="12.75" bestFit="1" customWidth="1"/>
    <col min="4" max="4" width="17.5" bestFit="1" customWidth="1"/>
    <col min="5" max="5" width="15.875" bestFit="1" customWidth="1"/>
    <col min="6" max="6" width="2.875" customWidth="1"/>
    <col min="7" max="7" width="10.9375" bestFit="1" customWidth="1"/>
    <col min="9" max="9" width="12.875" bestFit="1" customWidth="1"/>
    <col min="10" max="10" width="12.75" bestFit="1" customWidth="1"/>
    <col min="11" max="11" width="6.0625" bestFit="1" customWidth="1"/>
    <col min="12" max="12" width="17.5" bestFit="1" customWidth="1"/>
    <col min="13" max="13" width="15.875" bestFit="1" customWidth="1"/>
    <col min="14" max="14" width="2.875" bestFit="1" customWidth="1"/>
    <col min="15" max="15" width="10.9375" bestFit="1" customWidth="1"/>
    <col min="17" max="17" width="14.5" bestFit="1" customWidth="1"/>
    <col min="18" max="18" width="17.3125" style="9" bestFit="1" customWidth="1"/>
    <col min="19" max="29" width="15.875" style="9" bestFit="1" customWidth="1"/>
    <col min="30" max="30" width="17.5" style="9" bestFit="1" customWidth="1"/>
  </cols>
  <sheetData>
    <row r="3" spans="1:30">
      <c r="A3" s="13" t="s">
        <v>525</v>
      </c>
      <c r="B3" t="s">
        <v>529</v>
      </c>
      <c r="D3" s="13" t="s">
        <v>527</v>
      </c>
      <c r="E3" s="13" t="s">
        <v>506</v>
      </c>
      <c r="I3" s="13" t="s">
        <v>525</v>
      </c>
      <c r="J3" t="s">
        <v>527</v>
      </c>
      <c r="L3" s="13" t="s">
        <v>527</v>
      </c>
      <c r="M3" s="13" t="s">
        <v>506</v>
      </c>
      <c r="Q3" s="13" t="s">
        <v>528</v>
      </c>
      <c r="R3" s="16" t="s">
        <v>506</v>
      </c>
    </row>
    <row r="4" spans="1:30">
      <c r="A4" s="14" t="s">
        <v>468</v>
      </c>
      <c r="B4">
        <v>1</v>
      </c>
      <c r="D4" s="13" t="s">
        <v>525</v>
      </c>
      <c r="E4" t="s">
        <v>461</v>
      </c>
      <c r="F4" t="s">
        <v>463</v>
      </c>
      <c r="G4" t="s">
        <v>526</v>
      </c>
      <c r="I4" s="14" t="s">
        <v>461</v>
      </c>
      <c r="J4">
        <v>68</v>
      </c>
      <c r="L4" s="13" t="s">
        <v>525</v>
      </c>
      <c r="M4" t="s">
        <v>461</v>
      </c>
      <c r="N4" t="s">
        <v>463</v>
      </c>
      <c r="O4" t="s">
        <v>526</v>
      </c>
      <c r="Q4" s="13" t="s">
        <v>525</v>
      </c>
      <c r="R4" s="9" t="s">
        <v>508</v>
      </c>
      <c r="S4" s="9" t="s">
        <v>509</v>
      </c>
      <c r="T4" s="9" t="s">
        <v>510</v>
      </c>
      <c r="U4" s="9" t="s">
        <v>511</v>
      </c>
      <c r="V4" s="9" t="s">
        <v>512</v>
      </c>
      <c r="W4" s="9" t="s">
        <v>513</v>
      </c>
      <c r="X4" s="9" t="s">
        <v>514</v>
      </c>
      <c r="Y4" s="9" t="s">
        <v>515</v>
      </c>
      <c r="Z4" s="9" t="s">
        <v>516</v>
      </c>
      <c r="AA4" s="9" t="s">
        <v>517</v>
      </c>
      <c r="AB4" s="9" t="s">
        <v>286</v>
      </c>
      <c r="AC4" s="9" t="s">
        <v>518</v>
      </c>
      <c r="AD4" s="9" t="s">
        <v>526</v>
      </c>
    </row>
    <row r="5" spans="1:30">
      <c r="A5" s="14" t="s">
        <v>466</v>
      </c>
      <c r="B5">
        <v>8</v>
      </c>
      <c r="D5" s="14" t="s">
        <v>468</v>
      </c>
      <c r="E5">
        <v>1</v>
      </c>
      <c r="G5">
        <v>1</v>
      </c>
      <c r="I5" s="14" t="s">
        <v>463</v>
      </c>
      <c r="J5">
        <v>82</v>
      </c>
      <c r="L5" s="14" t="s">
        <v>486</v>
      </c>
      <c r="M5">
        <v>3</v>
      </c>
      <c r="N5">
        <v>11</v>
      </c>
      <c r="O5">
        <v>14</v>
      </c>
      <c r="Q5" s="14" t="s">
        <v>122</v>
      </c>
      <c r="R5" s="17">
        <v>432000000000</v>
      </c>
      <c r="S5" s="17">
        <v>540000000000</v>
      </c>
      <c r="T5" s="17">
        <v>515000000000</v>
      </c>
      <c r="U5" s="17">
        <v>301550000000</v>
      </c>
      <c r="V5" s="17">
        <v>372340000000</v>
      </c>
      <c r="W5" s="17">
        <v>426630000000</v>
      </c>
      <c r="X5" s="17">
        <v>430580000000</v>
      </c>
      <c r="Y5" s="17">
        <v>502160000000</v>
      </c>
      <c r="Z5" s="17">
        <v>470770000000</v>
      </c>
      <c r="AA5" s="17">
        <v>334580000000</v>
      </c>
      <c r="AB5" s="17">
        <v>301260000000</v>
      </c>
      <c r="AC5" s="17">
        <v>420350000000</v>
      </c>
      <c r="AD5" s="17">
        <v>5047220000000</v>
      </c>
    </row>
    <row r="6" spans="1:30">
      <c r="A6" s="14" t="s">
        <v>464</v>
      </c>
      <c r="B6">
        <v>55</v>
      </c>
      <c r="D6" s="14" t="s">
        <v>466</v>
      </c>
      <c r="E6">
        <v>3</v>
      </c>
      <c r="F6">
        <v>5</v>
      </c>
      <c r="G6">
        <v>8</v>
      </c>
      <c r="I6" s="14" t="s">
        <v>526</v>
      </c>
      <c r="J6">
        <v>150</v>
      </c>
      <c r="L6" s="14" t="s">
        <v>487</v>
      </c>
      <c r="M6">
        <v>65</v>
      </c>
      <c r="N6">
        <v>71</v>
      </c>
      <c r="O6">
        <v>136</v>
      </c>
      <c r="Q6" s="14" t="s">
        <v>526</v>
      </c>
      <c r="R6" s="17">
        <v>432000000000</v>
      </c>
      <c r="S6" s="17">
        <v>540000000000</v>
      </c>
      <c r="T6" s="17">
        <v>515000000000</v>
      </c>
      <c r="U6" s="17">
        <v>301550000000</v>
      </c>
      <c r="V6" s="17">
        <v>372340000000</v>
      </c>
      <c r="W6" s="17">
        <v>426630000000</v>
      </c>
      <c r="X6" s="17">
        <v>430580000000</v>
      </c>
      <c r="Y6" s="17">
        <v>502160000000</v>
      </c>
      <c r="Z6" s="17">
        <v>470770000000</v>
      </c>
      <c r="AA6" s="17">
        <v>334580000000</v>
      </c>
      <c r="AB6" s="17">
        <v>301260000000</v>
      </c>
      <c r="AC6" s="17">
        <v>420350000000</v>
      </c>
      <c r="AD6" s="17">
        <v>5047220000000</v>
      </c>
    </row>
    <row r="7" spans="1:30">
      <c r="A7" s="14" t="s">
        <v>465</v>
      </c>
      <c r="B7">
        <v>30</v>
      </c>
      <c r="D7" s="14" t="s">
        <v>464</v>
      </c>
      <c r="E7">
        <v>25</v>
      </c>
      <c r="F7">
        <v>30</v>
      </c>
      <c r="G7">
        <v>55</v>
      </c>
      <c r="L7" s="14" t="s">
        <v>526</v>
      </c>
      <c r="M7">
        <v>68</v>
      </c>
      <c r="N7">
        <v>82</v>
      </c>
      <c r="O7">
        <v>150</v>
      </c>
      <c r="R7"/>
      <c r="S7"/>
      <c r="T7"/>
      <c r="U7"/>
      <c r="V7"/>
      <c r="W7"/>
      <c r="X7"/>
      <c r="Y7"/>
      <c r="Z7"/>
      <c r="AA7"/>
      <c r="AB7"/>
      <c r="AC7"/>
      <c r="AD7"/>
    </row>
    <row r="8" spans="1:30">
      <c r="A8" s="14" t="s">
        <v>462</v>
      </c>
      <c r="B8">
        <v>54</v>
      </c>
      <c r="D8" s="14" t="s">
        <v>465</v>
      </c>
      <c r="E8">
        <v>17</v>
      </c>
      <c r="F8">
        <v>13</v>
      </c>
      <c r="G8">
        <v>30</v>
      </c>
      <c r="I8" s="13" t="s">
        <v>525</v>
      </c>
      <c r="J8" t="s">
        <v>529</v>
      </c>
      <c r="R8"/>
      <c r="S8"/>
      <c r="T8"/>
      <c r="U8"/>
      <c r="V8"/>
      <c r="W8"/>
      <c r="X8"/>
      <c r="Y8"/>
      <c r="Z8"/>
      <c r="AA8"/>
      <c r="AB8"/>
      <c r="AC8"/>
      <c r="AD8"/>
    </row>
    <row r="9" spans="1:30">
      <c r="A9" s="14" t="s">
        <v>467</v>
      </c>
      <c r="B9">
        <v>2</v>
      </c>
      <c r="D9" s="14" t="s">
        <v>462</v>
      </c>
      <c r="E9">
        <v>21</v>
      </c>
      <c r="F9">
        <v>33</v>
      </c>
      <c r="G9">
        <v>54</v>
      </c>
      <c r="I9" s="14" t="s">
        <v>486</v>
      </c>
      <c r="J9">
        <v>14</v>
      </c>
      <c r="R9"/>
      <c r="S9"/>
      <c r="T9"/>
      <c r="U9"/>
      <c r="V9"/>
      <c r="W9"/>
      <c r="X9"/>
      <c r="Y9"/>
      <c r="Z9"/>
      <c r="AA9"/>
      <c r="AB9"/>
      <c r="AC9"/>
      <c r="AD9"/>
    </row>
    <row r="10" spans="1:30">
      <c r="A10" s="14" t="s">
        <v>526</v>
      </c>
      <c r="B10">
        <v>150</v>
      </c>
      <c r="D10" s="14" t="s">
        <v>467</v>
      </c>
      <c r="E10">
        <v>1</v>
      </c>
      <c r="F10">
        <v>1</v>
      </c>
      <c r="G10">
        <v>2</v>
      </c>
      <c r="I10" s="14" t="s">
        <v>487</v>
      </c>
      <c r="J10">
        <v>136</v>
      </c>
      <c r="L10" s="14" t="s">
        <v>530</v>
      </c>
      <c r="M10">
        <f>GETPIVOTDATA("شماره پرسنلی",$L$3,"نوع قرارداد","تمام وقت")</f>
        <v>136</v>
      </c>
      <c r="R10"/>
      <c r="S10"/>
      <c r="T10"/>
      <c r="U10"/>
      <c r="V10"/>
      <c r="W10"/>
      <c r="X10"/>
      <c r="Y10"/>
      <c r="Z10"/>
      <c r="AA10"/>
      <c r="AB10"/>
      <c r="AC10"/>
      <c r="AD10"/>
    </row>
    <row r="11" spans="1:30">
      <c r="D11" s="14" t="s">
        <v>526</v>
      </c>
      <c r="E11">
        <v>68</v>
      </c>
      <c r="F11">
        <v>82</v>
      </c>
      <c r="G11">
        <v>150</v>
      </c>
      <c r="I11" s="14" t="s">
        <v>526</v>
      </c>
      <c r="J11">
        <v>150</v>
      </c>
      <c r="L11" s="14" t="s">
        <v>461</v>
      </c>
      <c r="M11">
        <f>GETPIVOTDATA("شماره پرسنلی",$L$3,"نوع قرارداد","پاره وقت","جنسیت","زن")</f>
        <v>3</v>
      </c>
      <c r="R11"/>
      <c r="S11"/>
      <c r="T11"/>
      <c r="U11"/>
      <c r="V11"/>
      <c r="W11"/>
      <c r="X11"/>
      <c r="Y11"/>
      <c r="Z11"/>
      <c r="AA11"/>
      <c r="AB11"/>
      <c r="AC11"/>
      <c r="AD11"/>
    </row>
    <row r="12" spans="1:30">
      <c r="L12" s="14" t="s">
        <v>463</v>
      </c>
      <c r="M12">
        <f>GETPIVOTDATA("شماره پرسنلی",$L$3,"نوع قرارداد","پاره وقت","جنسیت","مرد")</f>
        <v>11</v>
      </c>
      <c r="R12"/>
      <c r="S12"/>
      <c r="T12"/>
      <c r="U12"/>
      <c r="V12"/>
      <c r="W12"/>
      <c r="X12"/>
      <c r="Y12"/>
      <c r="Z12"/>
      <c r="AA12"/>
      <c r="AB12"/>
      <c r="AC12"/>
      <c r="AD1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7C626-60C0-418C-8DBA-ED5FBC56D241}">
  <dimension ref="A1"/>
  <sheetViews>
    <sheetView rightToLeft="1" tabSelected="1" zoomScale="70" zoomScaleNormal="70" workbookViewId="0">
      <selection activeCell="H42" sqref="H42"/>
    </sheetView>
  </sheetViews>
  <sheetFormatPr defaultRowHeight="13.5"/>
  <cols>
    <col min="1" max="16384" width="9" style="15"/>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E(D:  ( 1�'D E(D:  ( 1�'D E(D:  ( 1�'D ~'/'4  A1H4F/G ~'/'4  A1H4F/G ~'/'4  A1H4F/G 1/�A ,G*  3H1*  E'G E'G 4E'1G  ~13FD� F'E F'E  .'FH'/�� E(D:  ( 1�'D /15/  A1H4F/G ~'/'4  A1H4F/G E(D:  ( 1�'D E(D:  ( 1�'D E(D:  ( 1�'D E(D:  ( 1�'D E(D:  ( 1�'D E(D:  ( 1�'D ~'/'4  A1H4F/G ~'/'4  A1H4F/G ~'/'4  A1H4F/G ~'/'4  A1H4F/G ~'/'4  A1H4F/G ~'/'4  A1H4F/G E(D:  ( 1�'D E(D:  ( 1�'D E(D:  ( 1�'D ~'/'4  A1H4F/G ~'/'4  A1H4F/G ~'/'4  A1H4F/G 1/�A ,G*  3H1*  E'G E'G 4E'1G  ~13FD� F'E F'E  .'FH'/�� E(D:  ( 1�'D /15/  A1H4F/G ~'/'4  A1H4F/G E(D:  ( 1�'D E(D:  ( 1�'D E(D:  ( 1�'D E(D:  ( 1�'D E(D:  ( 1�'D E(D:  ( 1�'D ~'/'4  A1H4F/G ~'/'4  A1H4F/G ~'/'4  A1H4F/G ~'/'4  A1H4F/G ~'/'4  A1H4F/G ~'/'4  A1H4F/G 1/�A ,G*  3H1*  E'G E'G 4E'1G  ~13FD� F'E F'E  .'FH'/�� E(D:  ( 1�'D /15/  A1H4F/G ~'/'4  A1H4F/G E(D:  ( 1�'D E(D:  ( 1�'D ~'/'4  A1H4F/G ~'/'4  A1H4F/G 1/�A 4E'1G  ~13FD� 3E* FH9  B1'1/'/ FH9  A9'D�* F'E F'E  .'FH'/�� �/  ED� F'E  ~/1 *'1�.  *HD/ E'G  *HD/ 3'D  *HD/ ,F3�* E/1�  *-5�D� 4E'1G  ~13FD� 4E'1G  ~13FD� 4E'1G  ~13FD� 4E'1G  ~13FD� 4E'1G  ~13FD� 4E'1G  ~13FD� 4E'1G  ~13FD� 4E'1G  ~13FD� 1/�A ,G*  3H1*  E'G E'G 4E'1G  ~13FD� F'E F'E  .'FH'/�� E(D:  ( 1�'D /15/  A1H4F/G ~'/'4  A1H4F/G E(D:  ( 1�'D E(D:  ( 1�'D ~'/'4  A1H4F/G ~'/'4  A1H4F/G 1/�A 4E'1G  ~13FD� 3E* FH9  B1'1/'/ FH9  A9'D�* F'E F'E  .'FH'/�� �/  ED� F'E  ~/1 *'1�.  *HD/ E'G  *HD/ 3'D  *HD/ ,F3�* E/1�  *-5�D� 4E'1G  ~13FD� 4E'1G  ~13FD� 4E'1G  ~13FD� 4E'1G  ~13FD� 4E'1G  ~13FD� 4E'1G  ~13FD� 4E'1G  ~13FD� 4E'1G  ~13FD� 
</file>

<file path=customXml/item11.xml>�� 1/�A E'G 4E'1G  ~13FD� F'E F'E  .'FH'/�� E(D:  ( 1�'D /15/  A1H4F/G ~'/'4  A1H4F/G ,G*  3H1*  E'G 1/�A E'G 4E'1G  ~13FD� F'E F'E  .'FH'/�� E(D:  ( 1�'D /15/  A1H4F/G ~'/'4  A1H4F/G ,G*  3H1*  E'G 
</file>

<file path=customXml/item12.xml>�� 
</file>

<file path=customXml/item13.xml>�� 
</file>

<file path=customXml/item14.xml>�� 
</file>

<file path=customXml/item15.xml>�� 1/�A ,G*  3H1*  E'G E'G 4E'1G  ~13FD� F'E F'E  .'FH'/�� E(D:  ( 1�'D /15/  A1H4F/G ~'/'4  A1H4F/G 
</file>

<file path=customXml/item16.xml>�� 
</file>

<file path=customXml/itemProps1.xml><?xml version="1.0" encoding="utf-8"?>
<ds:datastoreItem xmlns:ds="http://schemas.openxmlformats.org/officeDocument/2006/customXml" ds:itemID="{FAEB9E8C-840E-41EA-BB87-7DA4EF15D80A}">
  <ds:schemaRefs/>
</ds:datastoreItem>
</file>

<file path=customXml/itemProps2.xml><?xml version="1.0" encoding="utf-8"?>
<ds:datastoreItem xmlns:ds="http://schemas.openxmlformats.org/officeDocument/2006/customXml" ds:itemID="{411B39B6-984F-4BF9-B5A8-E0AA6E72DA1A}">
  <ds:schemaRefs/>
</ds:datastoreItem>
</file>

<file path=customXml/itemProps3.xml><?xml version="1.0" encoding="utf-8"?>
<ds:datastoreItem xmlns:ds="http://schemas.openxmlformats.org/officeDocument/2006/customXml" ds:itemID="{B7FD511D-9426-4A73-A96E-B2C4965442A9}">
  <ds:schemaRefs/>
</ds:datastoreItem>
</file>

<file path=customXml/itemProps4.xml><?xml version="1.0" encoding="utf-8"?>
<ds:datastoreItem xmlns:ds="http://schemas.openxmlformats.org/officeDocument/2006/customXml" ds:itemID="{6C596BB5-1442-4834-AA2C-BDC139CAA73D}">
  <ds:schemaRefs/>
</ds:datastoreItem>
</file>

<file path=customXml/itemProps5.xml><?xml version="1.0" encoding="utf-8"?>
<ds:datastoreItem xmlns:ds="http://schemas.openxmlformats.org/officeDocument/2006/customXml" ds:itemID="{314394F3-58E8-4735-981B-99166D255108}">
  <ds:schemaRefs/>
</ds:datastoreItem>
</file>

<file path=customXml/itemProps6.xml><?xml version="1.0" encoding="utf-8"?>
<ds:datastoreItem xmlns:ds="http://schemas.openxmlformats.org/officeDocument/2006/customXml" ds:itemID="{1D6D0890-0C19-4374-BFD6-93B9D9C803AD}">
  <ds:schemaRefs/>
</ds:datastoreItem>
</file>

<file path=customXml/itemProps7.xml><?xml version="1.0" encoding="utf-8"?>
<ds:datastoreItem xmlns:ds="http://schemas.openxmlformats.org/officeDocument/2006/customXml" ds:itemID="{A62C7AFB-DCEA-4981-B7D4-ACC3D341EFDD}">
  <ds:schemaRefs/>
</ds:datastoreItem>
</file>

<file path=customXml/itemProps8.xml><?xml version="1.0" encoding="utf-8"?>
<ds:datastoreItem xmlns:ds="http://schemas.openxmlformats.org/officeDocument/2006/customXml" ds:itemID="{05BDE280-632A-4456-A1EB-AB6C380F97F5}">
  <ds:schemaRefs/>
</ds:datastoreItem>
</file>

<file path=customXml/itemProps9.xml><?xml version="1.0" encoding="utf-8"?>
<ds:datastoreItem xmlns:ds="http://schemas.openxmlformats.org/officeDocument/2006/customXml" ds:itemID="{5412C7F8-1495-412B-8D0B-0A66822E8F14}">
  <ds:schemaRefs/>
</ds:datastoreItem>
</file>

<file path=customXml/itemProps10.xml><?xml version="1.0" encoding="utf-8"?>
<ds:datastoreItem xmlns:ds="http://schemas.openxmlformats.org/officeDocument/2006/customXml" ds:itemID="{277E96AC-1E62-4A25-BA3A-8E66FE1627DA}">
  <ds:schemaRefs/>
</ds:datastoreItem>
</file>

<file path=customXml/itemProps11.xml><?xml version="1.0" encoding="utf-8"?>
<ds:datastoreItem xmlns:ds="http://schemas.openxmlformats.org/officeDocument/2006/customXml" ds:itemID="{CDC7893C-CD18-4CAF-8277-8D5ADAF7C726}">
  <ds:schemaRefs/>
</ds:datastoreItem>
</file>

<file path=customXml/itemProps12.xml><?xml version="1.0" encoding="utf-8"?>
<ds:datastoreItem xmlns:ds="http://schemas.openxmlformats.org/officeDocument/2006/customXml" ds:itemID="{ED0405EF-4571-49B1-A57F-83B75BA7882C}">
  <ds:schemaRefs/>
</ds:datastoreItem>
</file>

<file path=customXml/itemProps13.xml><?xml version="1.0" encoding="utf-8"?>
<ds:datastoreItem xmlns:ds="http://schemas.openxmlformats.org/officeDocument/2006/customXml" ds:itemID="{7F66D1F0-82E3-40CB-A59C-DED5D92B7F92}">
  <ds:schemaRefs/>
</ds:datastoreItem>
</file>

<file path=customXml/itemProps14.xml><?xml version="1.0" encoding="utf-8"?>
<ds:datastoreItem xmlns:ds="http://schemas.openxmlformats.org/officeDocument/2006/customXml" ds:itemID="{40F6680C-B5F9-43B4-A3F8-EBAC2EA97FEA}">
  <ds:schemaRefs/>
</ds:datastoreItem>
</file>

<file path=customXml/itemProps15.xml><?xml version="1.0" encoding="utf-8"?>
<ds:datastoreItem xmlns:ds="http://schemas.openxmlformats.org/officeDocument/2006/customXml" ds:itemID="{888F759D-7789-4F94-8AA1-39E0F9AAD88C}">
  <ds:schemaRefs/>
</ds:datastoreItem>
</file>

<file path=customXml/itemProps16.xml><?xml version="1.0" encoding="utf-8"?>
<ds:datastoreItem xmlns:ds="http://schemas.openxmlformats.org/officeDocument/2006/customXml" ds:itemID="{EF695DE9-0A02-4D8D-B82B-2B7A562F720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 Data</vt:lpstr>
      <vt:lpstr>Hu Data</vt:lpstr>
      <vt:lpstr>Kasra Pivot</vt:lpstr>
      <vt:lpstr>Kasra Dash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Kasra Tehrani</cp:lastModifiedBy>
  <dcterms:created xsi:type="dcterms:W3CDTF">2022-08-13T09:15:19Z</dcterms:created>
  <dcterms:modified xsi:type="dcterms:W3CDTF">2023-09-23T08:11:41Z</dcterms:modified>
</cp:coreProperties>
</file>